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eeb\Documents\Zcp\Stats\"/>
    </mc:Choice>
  </mc:AlternateContent>
  <xr:revisionPtr revIDLastSave="0" documentId="13_ncr:1_{B024A071-7AE1-4C13-B521-5F3DCBE41D97}" xr6:coauthVersionLast="47" xr6:coauthVersionMax="47" xr10:uidLastSave="{00000000-0000-0000-0000-000000000000}"/>
  <bookViews>
    <workbookView xWindow="-108" yWindow="-108" windowWidth="23256" windowHeight="12576" activeTab="1" xr2:uid="{24E1AB1B-139B-4112-BA4F-F8EA6928165B}"/>
  </bookViews>
  <sheets>
    <sheet name="task-01" sheetId="1" r:id="rId1"/>
    <sheet name="task-02" sheetId="2" r:id="rId2"/>
  </sheets>
  <definedNames>
    <definedName name="_xlchart.v1.0" hidden="1">'task-01'!$B$1</definedName>
    <definedName name="_xlchart.v1.1" hidden="1">'task-01'!$B$2:$B$53</definedName>
    <definedName name="ExternalData_1" localSheetId="1" hidden="1">'task-02'!$A$1:$S$89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1" i="2" l="1"/>
  <c r="Q109" i="2"/>
  <c r="R109" i="2"/>
  <c r="O98" i="2"/>
  <c r="O101" i="2"/>
  <c r="P101" i="2"/>
  <c r="P98" i="2"/>
  <c r="P95" i="2"/>
  <c r="O95" i="2"/>
  <c r="Q92" i="2"/>
  <c r="P92" i="2"/>
  <c r="O92" i="2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DD8B91-3F0F-471C-934F-E710035EC502}" keepAlive="1" name="Query - Bike Sales" description="Connection to the 'Bike Sales' query in the workbook." type="5" refreshedVersion="0" background="1">
    <dbPr connection="Provider=Microsoft.Mashup.OleDb.1;Data Source=$Workbook$;Location=&quot;Bike Sales&quot;;Extended Properties=&quot;&quot;" command="SELECT * FROM [Bike Sales]"/>
  </connection>
  <connection id="2" xr16:uid="{CD22EE9A-5163-48D3-93F3-842EAF085F0F}" keepAlive="1" name="Query - Bike Sales (2)" description="Connection to the 'Bike Sales (2)' query in the workbook." type="5" refreshedVersion="8" background="1" saveData="1">
    <dbPr connection="Provider=Microsoft.Mashup.OleDb.1;Data Source=$Workbook$;Location=&quot;Bike Sales (2)&quot;;Extended Properties=&quot;&quot;" command="SELECT * FROM [Bike Sales (2)]"/>
  </connection>
</connections>
</file>

<file path=xl/sharedStrings.xml><?xml version="1.0" encoding="utf-8"?>
<sst xmlns="http://schemas.openxmlformats.org/spreadsheetml/2006/main" count="725" uniqueCount="70">
  <si>
    <t>Commits per week</t>
  </si>
  <si>
    <t>Weeks</t>
  </si>
  <si>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</si>
  <si>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</si>
  <si>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</si>
  <si>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</si>
  <si>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</si>
  <si>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</si>
  <si>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</si>
  <si>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</si>
  <si>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</si>
  <si>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</si>
  <si>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</si>
  <si>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</si>
  <si>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</si>
  <si>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</si>
  <si>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</si>
  <si>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</si>
  <si>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</si>
  <si>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</si>
  <si>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</si>
  <si>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</si>
  <si>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</si>
  <si>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</si>
  <si>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</si>
  <si>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</si>
  <si>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</si>
  <si>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</si>
  <si>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</si>
  <si>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</si>
  <si>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</si>
  <si>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</si>
  <si>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</si>
  <si>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Mountain-400-W Silver, 46</t>
  </si>
  <si>
    <t>Young Adults (25-34)</t>
  </si>
  <si>
    <t>Australia</t>
  </si>
  <si>
    <t>New South Wales</t>
  </si>
  <si>
    <t>Mountain-400-W Silver, 42</t>
  </si>
  <si>
    <t>Youth (&lt;25)</t>
  </si>
  <si>
    <t>Mountain-200 Black, 38</t>
  </si>
  <si>
    <t>Washington</t>
  </si>
  <si>
    <t>Germany</t>
  </si>
  <si>
    <t>Nordrhein-Westfalen</t>
  </si>
  <si>
    <t>Queensland</t>
  </si>
  <si>
    <t>Mountain-200 Silver, 38</t>
  </si>
  <si>
    <t>Canada</t>
  </si>
  <si>
    <t>British Columbia</t>
  </si>
  <si>
    <t>Mountain-200 Black, 42</t>
  </si>
  <si>
    <t>Mountain-400-W Silver, 38</t>
  </si>
  <si>
    <t>Mountain-500 Silver, 42</t>
  </si>
  <si>
    <t>Oregon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</si>
  <si>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</si>
  <si>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</si>
  <si>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</si>
  <si>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</si>
  <si>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</si>
  <si>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</si>
  <si>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France</t>
  </si>
  <si>
    <t>Seine (Paris)</t>
  </si>
  <si>
    <t>Mountain-500 Silver, 40</t>
  </si>
  <si>
    <t>Seine et Marne</t>
  </si>
  <si>
    <t>Mountain-200 Silver, 46</t>
  </si>
  <si>
    <t>Seine Saint Denis</t>
  </si>
  <si>
    <t>Nord</t>
  </si>
  <si>
    <t>Mountain-500 Black, 44</t>
  </si>
  <si>
    <t>Mountain-100 Black, 48</t>
  </si>
  <si>
    <t>South Australia</t>
  </si>
  <si>
    <t>Hessen</t>
  </si>
  <si>
    <t>Mountain-500 Black, 52</t>
  </si>
  <si>
    <t>Somme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</si>
</sst>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1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alignment horizontal="left" vertical="bottom" textRotation="0" wrapText="0" indent="0" justifyLastLine="0" shrinkToFit="0" readingOrder="0"/>
    </dxf>
    <dxf>
      <numFmt numFmtId="19" formatCode="m/d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Weekly commits on "git" repository in 2024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000" b="1" i="0" u="none" strike="noStrike" baseline="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Weekly commits on "git" repository in 2024</a:t>
          </a:r>
        </a:p>
      </cx:txPr>
    </cx:title>
    <cx:plotArea>
      <cx:plotAreaRegion>
        <cx:series layoutId="clusteredColumn" uniqueId="{AF38AFBE-1788-47AB-B857-5C021C6F8B08}">
          <cx:tx>
            <cx:txData>
              <cx:f>_xlchart.v1.0</cx:f>
              <cx:v>Commits per week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 baseline="0">
                    <a:solidFill>
                      <a:srgbClr val="F2F2F2"/>
                    </a:solidFill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US" baseline="0"/>
              </a:p>
            </cx:txPr>
            <cx:visibility seriesName="0" categoryName="0" value="1"/>
          </cx:dataLabels>
          <cx:dataId val="0"/>
          <cx:layoutPr>
            <cx:binning intervalClosed="r">
              <cx:binSize val="12"/>
            </cx:binning>
          </cx:layoutPr>
        </cx:series>
      </cx:plotAreaRegion>
      <cx:axis id="0">
        <cx:catScaling gapWidth="0"/>
        <cx:title>
          <cx:tx>
            <cx:txData>
              <cx:v>Commits per week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rgbClr val="FF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Commits per week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F2F2F2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baseline="0"/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1400" b="0" i="0" u="none" strike="noStrike" baseline="0">
                  <a:solidFill>
                    <a:srgbClr val="FF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Frequency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rgbClr val="F2F2F2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baseline="0"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53340</xdr:rowOff>
    </xdr:from>
    <xdr:to>
      <xdr:col>20</xdr:col>
      <xdr:colOff>0</xdr:colOff>
      <xdr:row>26</xdr:row>
      <xdr:rowOff>167640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99E8347C-06C4-7C30-54E7-847712D189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9940" y="601980"/>
              <a:ext cx="10363200" cy="4320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28</xdr:row>
      <xdr:rowOff>3810</xdr:rowOff>
    </xdr:from>
    <xdr:to>
      <xdr:col>20</xdr:col>
      <xdr:colOff>0</xdr:colOff>
      <xdr:row>33</xdr:row>
      <xdr:rowOff>7620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B813765-6F78-765F-F9FC-5CBBACAEFEE2}"/>
            </a:ext>
          </a:extLst>
        </xdr:cNvPr>
        <xdr:cNvSpPr txBox="1"/>
      </xdr:nvSpPr>
      <xdr:spPr>
        <a:xfrm>
          <a:off x="3299460" y="5124450"/>
          <a:ext cx="10363200" cy="91821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i="1"/>
            <a:t>1. What is the shape of the distribution (e.g., Normal, Skewed, Uniform)? </a:t>
          </a:r>
        </a:p>
        <a:p>
          <a:endParaRPr lang="en-US" sz="16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0">
              <a:latin typeface="Times New Roman" panose="02020603050405020304" pitchFamily="18" charset="0"/>
              <a:cs typeface="Times New Roman" panose="02020603050405020304" pitchFamily="18" charset="0"/>
            </a:rPr>
            <a:t>➢ The distribution is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right-skewed</a:t>
          </a:r>
          <a:r>
            <a:rPr lang="en-US" sz="1600" b="0">
              <a:latin typeface="Times New Roman" panose="02020603050405020304" pitchFamily="18" charset="0"/>
              <a:cs typeface="Times New Roman" panose="02020603050405020304" pitchFamily="18" charset="0"/>
            </a:rPr>
            <a:t>, with most weeks having low commits and a peak around Week 6. </a:t>
          </a:r>
        </a:p>
      </xdr:txBody>
    </xdr:sp>
    <xdr:clientData/>
  </xdr:twoCellAnchor>
  <xdr:oneCellAnchor>
    <xdr:from>
      <xdr:col>8</xdr:col>
      <xdr:colOff>274320</xdr:colOff>
      <xdr:row>13</xdr:row>
      <xdr:rowOff>60960</xdr:rowOff>
    </xdr:from>
    <xdr:ext cx="977211" cy="3788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AB608A8-42CD-819E-4731-853142FD5984}"/>
            </a:ext>
          </a:extLst>
        </xdr:cNvPr>
        <xdr:cNvSpPr txBox="1"/>
      </xdr:nvSpPr>
      <xdr:spPr>
        <a:xfrm>
          <a:off x="6621780" y="2438400"/>
          <a:ext cx="977211" cy="3788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3</xdr:col>
      <xdr:colOff>0</xdr:colOff>
      <xdr:row>34</xdr:row>
      <xdr:rowOff>7620</xdr:rowOff>
    </xdr:from>
    <xdr:to>
      <xdr:col>19</xdr:col>
      <xdr:colOff>601980</xdr:colOff>
      <xdr:row>43</xdr:row>
      <xdr:rowOff>22860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6C8A8B3-B616-4339-A28F-FFA9CA7C6555}"/>
            </a:ext>
          </a:extLst>
        </xdr:cNvPr>
        <xdr:cNvSpPr txBox="1"/>
      </xdr:nvSpPr>
      <xdr:spPr>
        <a:xfrm>
          <a:off x="3299460" y="6225540"/>
          <a:ext cx="10355580" cy="166116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i="1"/>
            <a:t>2. What does the histogram tell you about the dataset? </a:t>
          </a:r>
        </a:p>
        <a:p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➢ Most weeks have commits in the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middle ranges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(bins 5–7), meaning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moderate weekly activity is common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➢ Low activity weeks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(6–28 commits) and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very high activity weeks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 (100+ commits) are rare.</a:t>
          </a:r>
        </a:p>
        <a:p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➢ The histogram indicates that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weekly contributions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are generally stable, with most weeks </a:t>
          </a:r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clustering around typical values.</a:t>
          </a:r>
        </a:p>
        <a:p>
          <a:endParaRPr lang="en-US" sz="1600"/>
        </a:p>
      </xdr:txBody>
    </xdr:sp>
    <xdr:clientData/>
  </xdr:twoCellAnchor>
  <xdr:twoCellAnchor>
    <xdr:from>
      <xdr:col>3</xdr:col>
      <xdr:colOff>7620</xdr:colOff>
      <xdr:row>44</xdr:row>
      <xdr:rowOff>0</xdr:rowOff>
    </xdr:from>
    <xdr:to>
      <xdr:col>20</xdr:col>
      <xdr:colOff>0</xdr:colOff>
      <xdr:row>52</xdr:row>
      <xdr:rowOff>175260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1DB334F-9FBE-4709-B441-48DD5BCB3DA7}"/>
            </a:ext>
          </a:extLst>
        </xdr:cNvPr>
        <xdr:cNvSpPr txBox="1"/>
      </xdr:nvSpPr>
      <xdr:spPr>
        <a:xfrm>
          <a:off x="3307080" y="8046720"/>
          <a:ext cx="10355580" cy="163830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i="1"/>
            <a:t>3. Are there any outliers or unusual patterns? </a:t>
          </a:r>
        </a:p>
        <a:p>
          <a:endParaRPr lang="en-US" sz="16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</a:t>
          </a:r>
          <a:r>
            <a:rPr lang="en-US" sz="16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6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Lower fence:</a:t>
          </a: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 </a:t>
          </a:r>
          <a:r>
            <a:rPr lang="en-US" sz="16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Upper fence:</a:t>
          </a: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120</a:t>
          </a:r>
          <a:endParaRPr lang="en-US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60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 </a:t>
          </a:r>
          <a:r>
            <a:rPr lang="en-US" sz="16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Outliers:</a:t>
          </a: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6, 153 </a:t>
          </a:r>
          <a:endParaRPr lang="en-US" sz="1600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endParaRPr lang="en-US" sz="1600"/>
        </a:p>
        <a:p>
          <a:endParaRPr lang="en-US" sz="1600"/>
        </a:p>
      </xdr:txBody>
    </xdr:sp>
    <xdr:clientData/>
  </xdr:twoCellAnchor>
  <xdr:twoCellAnchor>
    <xdr:from>
      <xdr:col>7</xdr:col>
      <xdr:colOff>601980</xdr:colOff>
      <xdr:row>0</xdr:row>
      <xdr:rowOff>0</xdr:rowOff>
    </xdr:from>
    <xdr:to>
      <xdr:col>14</xdr:col>
      <xdr:colOff>15240</xdr:colOff>
      <xdr:row>2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CEB75D9-F6DA-4E62-B482-FAEDEAA88E89}"/>
            </a:ext>
          </a:extLst>
        </xdr:cNvPr>
        <xdr:cNvSpPr txBox="1"/>
      </xdr:nvSpPr>
      <xdr:spPr>
        <a:xfrm>
          <a:off x="6339840" y="0"/>
          <a:ext cx="3680460" cy="480060"/>
        </a:xfrm>
        <a:prstGeom prst="rect">
          <a:avLst/>
        </a:prstGeom>
        <a:solidFill>
          <a:schemeClr val="accent5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4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Histogram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434340</xdr:colOff>
      <xdr:row>99</xdr:row>
      <xdr:rowOff>45720</xdr:rowOff>
    </xdr:from>
    <xdr:ext cx="624840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64CBDC-7162-A7C3-3896-FBF6D5C0391C}"/>
            </a:ext>
          </a:extLst>
        </xdr:cNvPr>
        <xdr:cNvSpPr txBox="1"/>
      </xdr:nvSpPr>
      <xdr:spPr>
        <a:xfrm>
          <a:off x="5052060" y="18150840"/>
          <a:ext cx="62484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8</xdr:col>
      <xdr:colOff>7620</xdr:colOff>
      <xdr:row>90</xdr:row>
      <xdr:rowOff>175260</xdr:rowOff>
    </xdr:from>
    <xdr:to>
      <xdr:col>12</xdr:col>
      <xdr:colOff>472440</xdr:colOff>
      <xdr:row>93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302ECD-6AB9-4F2E-86EC-81B1C2B26865}"/>
            </a:ext>
          </a:extLst>
        </xdr:cNvPr>
        <xdr:cNvSpPr txBox="1"/>
      </xdr:nvSpPr>
      <xdr:spPr>
        <a:xfrm>
          <a:off x="3322320" y="16634460"/>
          <a:ext cx="2324100" cy="388620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Mean</a:t>
          </a:r>
        </a:p>
      </xdr:txBody>
    </xdr:sp>
    <xdr:clientData/>
  </xdr:twoCellAnchor>
  <xdr:twoCellAnchor>
    <xdr:from>
      <xdr:col>8</xdr:col>
      <xdr:colOff>7620</xdr:colOff>
      <xdr:row>94</xdr:row>
      <xdr:rowOff>7620</xdr:rowOff>
    </xdr:from>
    <xdr:to>
      <xdr:col>13</xdr:col>
      <xdr:colOff>7620</xdr:colOff>
      <xdr:row>96</xdr:row>
      <xdr:rowOff>15240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A6B0D8E-BB7D-4C2F-9629-D59AB6991600}"/>
            </a:ext>
          </a:extLst>
        </xdr:cNvPr>
        <xdr:cNvSpPr txBox="1"/>
      </xdr:nvSpPr>
      <xdr:spPr>
        <a:xfrm>
          <a:off x="3322320" y="17198340"/>
          <a:ext cx="2339340" cy="37338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Median</a:t>
          </a:r>
        </a:p>
      </xdr:txBody>
    </xdr:sp>
    <xdr:clientData/>
  </xdr:twoCellAnchor>
  <xdr:twoCellAnchor>
    <xdr:from>
      <xdr:col>8</xdr:col>
      <xdr:colOff>7620</xdr:colOff>
      <xdr:row>96</xdr:row>
      <xdr:rowOff>160020</xdr:rowOff>
    </xdr:from>
    <xdr:to>
      <xdr:col>13</xdr:col>
      <xdr:colOff>0</xdr:colOff>
      <xdr:row>99</xdr:row>
      <xdr:rowOff>15240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C7CFDA1-EC84-4175-B184-6B347A255683}"/>
            </a:ext>
          </a:extLst>
        </xdr:cNvPr>
        <xdr:cNvSpPr txBox="1"/>
      </xdr:nvSpPr>
      <xdr:spPr>
        <a:xfrm>
          <a:off x="3322320" y="17716500"/>
          <a:ext cx="2331720" cy="403860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Mode</a:t>
          </a:r>
        </a:p>
      </xdr:txBody>
    </xdr:sp>
    <xdr:clientData/>
  </xdr:twoCellAnchor>
  <xdr:twoCellAnchor>
    <xdr:from>
      <xdr:col>8</xdr:col>
      <xdr:colOff>0</xdr:colOff>
      <xdr:row>100</xdr:row>
      <xdr:rowOff>7620</xdr:rowOff>
    </xdr:from>
    <xdr:to>
      <xdr:col>13</xdr:col>
      <xdr:colOff>7620</xdr:colOff>
      <xdr:row>102</xdr:row>
      <xdr:rowOff>15240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150C9911-234A-410A-BEBC-6B3539101C9A}"/>
            </a:ext>
          </a:extLst>
        </xdr:cNvPr>
        <xdr:cNvSpPr txBox="1"/>
      </xdr:nvSpPr>
      <xdr:spPr>
        <a:xfrm>
          <a:off x="3314700" y="18295620"/>
          <a:ext cx="2346960" cy="37338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Standard Deviation</a:t>
          </a:r>
        </a:p>
      </xdr:txBody>
    </xdr:sp>
    <xdr:clientData/>
  </xdr:twoCellAnchor>
  <xdr:twoCellAnchor>
    <xdr:from>
      <xdr:col>15</xdr:col>
      <xdr:colOff>7620</xdr:colOff>
      <xdr:row>102</xdr:row>
      <xdr:rowOff>175260</xdr:rowOff>
    </xdr:from>
    <xdr:to>
      <xdr:col>16</xdr:col>
      <xdr:colOff>7620</xdr:colOff>
      <xdr:row>106</xdr:row>
      <xdr:rowOff>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A3E7D1-A052-47C5-9B2B-F3738383F7CB}"/>
            </a:ext>
          </a:extLst>
        </xdr:cNvPr>
        <xdr:cNvSpPr txBox="1"/>
      </xdr:nvSpPr>
      <xdr:spPr>
        <a:xfrm>
          <a:off x="8161020" y="18829020"/>
          <a:ext cx="2316480" cy="556260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Mean &lt; Median = Mode</a:t>
          </a:r>
          <a:endParaRPr lang="en-US" sz="12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Left-skewed</a:t>
          </a:r>
          <a:endParaRPr lang="en-US" sz="1200">
            <a:solidFill>
              <a:schemeClr val="tx1"/>
            </a:solidFill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2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0</xdr:colOff>
      <xdr:row>102</xdr:row>
      <xdr:rowOff>175260</xdr:rowOff>
    </xdr:from>
    <xdr:to>
      <xdr:col>15</xdr:col>
      <xdr:colOff>0</xdr:colOff>
      <xdr:row>106</xdr:row>
      <xdr:rowOff>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C997731-CD11-4C82-8379-11480F99E1E7}"/>
            </a:ext>
          </a:extLst>
        </xdr:cNvPr>
        <xdr:cNvSpPr txBox="1"/>
      </xdr:nvSpPr>
      <xdr:spPr>
        <a:xfrm>
          <a:off x="5935980" y="18829020"/>
          <a:ext cx="1965960" cy="55626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Mean &lt; Median = Mode</a:t>
          </a:r>
        </a:p>
        <a:p>
          <a:pPr algn="ctr"/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Left-skewed</a:t>
          </a:r>
        </a:p>
      </xdr:txBody>
    </xdr:sp>
    <xdr:clientData/>
  </xdr:twoCellAnchor>
  <xdr:twoCellAnchor>
    <xdr:from>
      <xdr:col>8</xdr:col>
      <xdr:colOff>0</xdr:colOff>
      <xdr:row>103</xdr:row>
      <xdr:rowOff>0</xdr:rowOff>
    </xdr:from>
    <xdr:to>
      <xdr:col>13</xdr:col>
      <xdr:colOff>15240</xdr:colOff>
      <xdr:row>106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BF1779C-D849-4C94-9708-00E73713A851}"/>
            </a:ext>
          </a:extLst>
        </xdr:cNvPr>
        <xdr:cNvSpPr txBox="1"/>
      </xdr:nvSpPr>
      <xdr:spPr>
        <a:xfrm>
          <a:off x="3314700" y="18836640"/>
          <a:ext cx="2354580" cy="54864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Shape of Distribution</a:t>
          </a:r>
        </a:p>
      </xdr:txBody>
    </xdr:sp>
    <xdr:clientData/>
  </xdr:twoCellAnchor>
  <xdr:twoCellAnchor>
    <xdr:from>
      <xdr:col>8</xdr:col>
      <xdr:colOff>0</xdr:colOff>
      <xdr:row>108</xdr:row>
      <xdr:rowOff>0</xdr:rowOff>
    </xdr:from>
    <xdr:to>
      <xdr:col>13</xdr:col>
      <xdr:colOff>0</xdr:colOff>
      <xdr:row>110</xdr:row>
      <xdr:rowOff>15240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4875A5BA-34E0-42EF-86F1-EA568BA84C77}"/>
            </a:ext>
          </a:extLst>
        </xdr:cNvPr>
        <xdr:cNvSpPr txBox="1"/>
      </xdr:nvSpPr>
      <xdr:spPr>
        <a:xfrm>
          <a:off x="3314700" y="19751040"/>
          <a:ext cx="2339340" cy="381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Co-efficient of variation</a:t>
          </a:r>
        </a:p>
      </xdr:txBody>
    </xdr:sp>
    <xdr:clientData/>
  </xdr:twoCellAnchor>
  <xdr:twoCellAnchor>
    <xdr:from>
      <xdr:col>14</xdr:col>
      <xdr:colOff>7620</xdr:colOff>
      <xdr:row>112</xdr:row>
      <xdr:rowOff>0</xdr:rowOff>
    </xdr:from>
    <xdr:to>
      <xdr:col>15</xdr:col>
      <xdr:colOff>7620</xdr:colOff>
      <xdr:row>126</xdr:row>
      <xdr:rowOff>15240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C2817375-BB86-400C-A1AC-860092EFB338}"/>
            </a:ext>
          </a:extLst>
        </xdr:cNvPr>
        <xdr:cNvSpPr txBox="1"/>
      </xdr:nvSpPr>
      <xdr:spPr>
        <a:xfrm>
          <a:off x="5943600" y="20482560"/>
          <a:ext cx="2217420" cy="25755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Unit Cost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➢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Average cost is around 1064, but most units are around 1252 (median and mode).</a:t>
          </a:r>
        </a:p>
        <a:p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➢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The left skew suggests there are some lower-cost units that are less common but reduce the mean.</a:t>
          </a:r>
        </a:p>
        <a:p>
          <a:pPr algn="ctr"/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0</xdr:colOff>
      <xdr:row>112</xdr:row>
      <xdr:rowOff>0</xdr:rowOff>
    </xdr:from>
    <xdr:to>
      <xdr:col>16</xdr:col>
      <xdr:colOff>7620</xdr:colOff>
      <xdr:row>126</xdr:row>
      <xdr:rowOff>15240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A4326E9B-4E78-4B82-9707-6E19385B0477}"/>
            </a:ext>
          </a:extLst>
        </xdr:cNvPr>
        <xdr:cNvSpPr txBox="1"/>
      </xdr:nvSpPr>
      <xdr:spPr>
        <a:xfrm>
          <a:off x="8153400" y="20482560"/>
          <a:ext cx="2324100" cy="257556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Unit Price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Average price is around 1946, but the typical selling price is 2295.</a:t>
          </a:r>
        </a:p>
        <a:p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Some lower-priced items pull the mean down, indicating pricing is generally higher than the average.</a:t>
          </a:r>
        </a:p>
        <a:p>
          <a:pPr algn="ctr"/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16</xdr:col>
      <xdr:colOff>0</xdr:colOff>
      <xdr:row>112</xdr:row>
      <xdr:rowOff>0</xdr:rowOff>
    </xdr:from>
    <xdr:to>
      <xdr:col>17</xdr:col>
      <xdr:colOff>7620</xdr:colOff>
      <xdr:row>126</xdr:row>
      <xdr:rowOff>15240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736A4D9-02FE-462B-A110-038254067384}"/>
            </a:ext>
          </a:extLst>
        </xdr:cNvPr>
        <xdr:cNvSpPr txBox="1"/>
      </xdr:nvSpPr>
      <xdr:spPr>
        <a:xfrm>
          <a:off x="10469880" y="20482560"/>
          <a:ext cx="1874520" cy="257556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Profit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</a:t>
          </a:r>
          <a:r>
            <a:rPr lang="en-US" sz="11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Average profit is around 1858</a:t>
          </a:r>
          <a:r>
            <a:rPr lang="en-US" sz="1600" baseline="0">
              <a:latin typeface="Times New Roman" panose="02020603050405020304" pitchFamily="18" charset="0"/>
              <a:cs typeface="Times New Roman" panose="02020603050405020304" pitchFamily="18" charset="0"/>
            </a:rPr>
            <a:t> with standard deviation of around 1399.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</a:t>
          </a:r>
          <a:r>
            <a:rPr lang="en-US" sz="16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CV = 75.33%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0</xdr:colOff>
      <xdr:row>112</xdr:row>
      <xdr:rowOff>7620</xdr:rowOff>
    </xdr:from>
    <xdr:to>
      <xdr:col>18</xdr:col>
      <xdr:colOff>0</xdr:colOff>
      <xdr:row>126</xdr:row>
      <xdr:rowOff>7620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1421207-A6A9-40C6-A776-5C0AC64563DA}"/>
            </a:ext>
          </a:extLst>
        </xdr:cNvPr>
        <xdr:cNvSpPr txBox="1"/>
      </xdr:nvSpPr>
      <xdr:spPr>
        <a:xfrm>
          <a:off x="12336780" y="20490180"/>
          <a:ext cx="1905000" cy="256032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Cost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</a:t>
          </a:r>
          <a:r>
            <a:rPr lang="en-US" sz="16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CV = 88.57%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15</xdr:col>
      <xdr:colOff>2308860</xdr:colOff>
      <xdr:row>127</xdr:row>
      <xdr:rowOff>7620</xdr:rowOff>
    </xdr:from>
    <xdr:to>
      <xdr:col>17</xdr:col>
      <xdr:colOff>1897380</xdr:colOff>
      <xdr:row>135</xdr:row>
      <xdr:rowOff>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FE16FF1-70C6-4780-ABC5-A88358DF9D05}"/>
            </a:ext>
          </a:extLst>
        </xdr:cNvPr>
        <xdr:cNvSpPr txBox="1"/>
      </xdr:nvSpPr>
      <xdr:spPr>
        <a:xfrm>
          <a:off x="10462260" y="23233380"/>
          <a:ext cx="3771900" cy="145542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="1">
              <a:latin typeface="Times New Roman" panose="02020603050405020304" pitchFamily="18" charset="0"/>
              <a:cs typeface="Times New Roman" panose="02020603050405020304" pitchFamily="18" charset="0"/>
            </a:rPr>
            <a:t>Interpretation </a:t>
          </a: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➢ </a:t>
          </a:r>
          <a:r>
            <a:rPr lang="en-US" sz="1600">
              <a:latin typeface="Times New Roman" panose="02020603050405020304" pitchFamily="18" charset="0"/>
              <a:cs typeface="Times New Roman" panose="02020603050405020304" pitchFamily="18" charset="0"/>
            </a:rPr>
            <a:t>Profit is more variable relative to its mean compared to cost. This suggests profit margins are less consistent and more sensitive to cost and price changes.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endParaRPr lang="en-US" sz="16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939DA34-8598-4523-956A-18CD7C167F81}" autoFormatId="16" applyNumberFormats="0" applyBorderFormats="0" applyFontFormats="0" applyPatternFormats="0" applyAlignmentFormats="0" applyWidthHeightFormats="0">
  <queryTableRefresh nextId="20">
    <queryTableFields count="19">
      <queryTableField id="1" name="Sales_Order #" tableColumnId="1"/>
      <queryTableField id="2" name="Date" tableColumnId="2"/>
      <queryTableField id="3" name="Day" tableColumnId="3"/>
      <queryTableField id="4" name="Month" tableColumnId="4"/>
      <queryTableField id="5" name="Year" tableColumnId="5"/>
      <queryTableField id="6" name="Customer_Age" tableColumnId="6"/>
      <queryTableField id="7" name="Age_Group" tableColumnId="7"/>
      <queryTableField id="8" name="Customer_Gender" tableColumnId="8"/>
      <queryTableField id="9" name="Country" tableColumnId="9"/>
      <queryTableField id="10" name="State" tableColumnId="10"/>
      <queryTableField id="11" name="Product_Category" tableColumnId="11"/>
      <queryTableField id="12" name="Sub_Category" tableColumnId="12"/>
      <queryTableField id="13" name="Product_Description" tableColumnId="13"/>
      <queryTableField id="14" name="Order_Quantity" tableColumnId="14"/>
      <queryTableField id="15" name=" Unit_Cost " tableColumnId="15"/>
      <queryTableField id="16" name=" Unit_Price " tableColumnId="16"/>
      <queryTableField id="17" name=" Profit " tableColumnId="17"/>
      <queryTableField id="18" name=" Cost " tableColumnId="18"/>
      <queryTableField id="19" name="Revenu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E5104C-79A2-441F-93D6-E7D61EEEC264}" name="Bike_Sales3" displayName="Bike_Sales3" ref="A1:S89" tableType="queryTable" totalsRowShown="0">
  <autoFilter ref="A1:S89" xr:uid="{53E5104C-79A2-441F-93D6-E7D61EEEC264}"/>
  <tableColumns count="19">
    <tableColumn id="1" xr3:uid="{6714FA71-2CEE-4174-BFE5-8BCC47D58572}" uniqueName="1" name="Sales_Order #" queryTableFieldId="1" dataDxfId="17"/>
    <tableColumn id="2" xr3:uid="{6C8E43E3-6D14-4F25-9E8C-FF82F935F225}" uniqueName="2" name="Date" queryTableFieldId="2" dataDxfId="16"/>
    <tableColumn id="3" xr3:uid="{E3A309B3-73BD-46A1-9967-39872D84D10F}" uniqueName="3" name="Day" queryTableFieldId="3" dataDxfId="15"/>
    <tableColumn id="4" xr3:uid="{0306C4E8-DD64-4D1B-9CA4-3DE52CB3F1F2}" uniqueName="4" name="Month" queryTableFieldId="4" dataDxfId="14"/>
    <tableColumn id="5" xr3:uid="{5C6026F2-D6FA-4236-B3C2-5A8908E6DF65}" uniqueName="5" name="Year" queryTableFieldId="5" dataDxfId="13"/>
    <tableColumn id="6" xr3:uid="{7B7F6257-870C-45A3-9FB4-9B861C96B06D}" uniqueName="6" name="Customer_Age" queryTableFieldId="6" dataDxfId="12"/>
    <tableColumn id="7" xr3:uid="{5694DE06-83F9-4AFE-8EDA-8E0D0C72223B}" uniqueName="7" name="Age_Group" queryTableFieldId="7" dataDxfId="11"/>
    <tableColumn id="8" xr3:uid="{3F8A91B8-7D9E-453B-86A4-FFBF75FFF2EF}" uniqueName="8" name="Customer_Gender" queryTableFieldId="8" dataDxfId="10"/>
    <tableColumn id="9" xr3:uid="{BFACDB3B-D6F0-4C7D-900A-8E83759FD2EE}" uniqueName="9" name="Country" queryTableFieldId="9" dataDxfId="9"/>
    <tableColumn id="10" xr3:uid="{7D1A723E-ED39-4CF4-9699-7F559C484B1B}" uniqueName="10" name="State" queryTableFieldId="10" dataDxfId="8"/>
    <tableColumn id="11" xr3:uid="{BD6F48E0-1E02-4318-8BFE-EBD5C6D52475}" uniqueName="11" name="Product_Category" queryTableFieldId="11" dataDxfId="7"/>
    <tableColumn id="12" xr3:uid="{44011B44-F99A-4ABF-9A94-1434881A44CC}" uniqueName="12" name="Sub_Category" queryTableFieldId="12" dataDxfId="6"/>
    <tableColumn id="13" xr3:uid="{D0389254-F824-45E3-9DD9-93CAAB8A7D29}" uniqueName="13" name="Product_Description" queryTableFieldId="13" dataDxfId="5"/>
    <tableColumn id="14" xr3:uid="{1EA544C0-C1A9-47D8-914F-9A38FA033CA8}" uniqueName="14" name="Order_Quantity" queryTableFieldId="14" dataDxfId="4"/>
    <tableColumn id="15" xr3:uid="{029D1B98-308E-4BC7-B388-FD378F5CE7AF}" uniqueName="15" name=" Unit_Cost " queryTableFieldId="15" dataDxfId="3"/>
    <tableColumn id="16" xr3:uid="{63E947C6-C8C9-4111-A383-E96DAEE4D90B}" uniqueName="16" name=" Unit_Price " queryTableFieldId="16" dataDxfId="2"/>
    <tableColumn id="17" xr3:uid="{DD297B46-C119-45A8-807A-32C9DBE8D3CB}" uniqueName="17" name=" Profit " queryTableFieldId="17" dataDxfId="1"/>
    <tableColumn id="18" xr3:uid="{BC533E4F-4FEA-4CD5-9168-E5DFEE065367}" uniqueName="18" name=" Cost " queryTableFieldId="18" dataDxfId="0"/>
    <tableColumn id="19" xr3:uid="{AA50688C-5CEA-4EB8-8902-A8836F4C4D86}" uniqueName="19" name="Revenue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CCB13-5D9C-4429-B1DB-87BE3EC35A6E}">
  <dimension ref="A1:B53"/>
  <sheetViews>
    <sheetView topLeftCell="A33" workbookViewId="0"/>
  </sheetViews>
  <sheetFormatPr defaultRowHeight="14.4" x14ac:dyDescent="0.3"/>
  <cols>
    <col min="1" max="1" width="22.33203125" style="2" customWidth="1"/>
    <col min="2" max="2" width="17.33203125" customWidth="1"/>
  </cols>
  <sheetData>
    <row r="1" spans="1:2" x14ac:dyDescent="0.3">
      <c r="A1" s="3" t="s">
        <v>1</v>
      </c>
      <c r="B1" s="1" t="s">
        <v>0</v>
      </c>
    </row>
    <row r="2" spans="1:2" x14ac:dyDescent="0.3">
      <c r="A2" s="2">
        <v>45292</v>
      </c>
      <c r="B2" s="4">
        <v>41</v>
      </c>
    </row>
    <row r="3" spans="1:2" x14ac:dyDescent="0.3">
      <c r="A3" s="2">
        <f xml:space="preserve"> A2 + 7</f>
        <v>45299</v>
      </c>
      <c r="B3" s="4">
        <v>77</v>
      </c>
    </row>
    <row r="4" spans="1:2" x14ac:dyDescent="0.3">
      <c r="A4" s="2">
        <f xml:space="preserve"> A3 + 7</f>
        <v>45306</v>
      </c>
      <c r="B4" s="4">
        <v>65</v>
      </c>
    </row>
    <row r="5" spans="1:2" x14ac:dyDescent="0.3">
      <c r="A5" s="2">
        <f t="shared" ref="A5:A53" si="0" xml:space="preserve"> A4 + 7</f>
        <v>45313</v>
      </c>
      <c r="B5" s="4">
        <v>36</v>
      </c>
    </row>
    <row r="6" spans="1:2" x14ac:dyDescent="0.3">
      <c r="A6" s="2">
        <f t="shared" si="0"/>
        <v>45320</v>
      </c>
      <c r="B6" s="4">
        <v>78</v>
      </c>
    </row>
    <row r="7" spans="1:2" x14ac:dyDescent="0.3">
      <c r="A7" s="2">
        <f t="shared" si="0"/>
        <v>45327</v>
      </c>
      <c r="B7" s="4">
        <v>44</v>
      </c>
    </row>
    <row r="8" spans="1:2" x14ac:dyDescent="0.3">
      <c r="A8" s="2">
        <f t="shared" si="0"/>
        <v>45334</v>
      </c>
      <c r="B8" s="4">
        <v>78</v>
      </c>
    </row>
    <row r="9" spans="1:2" x14ac:dyDescent="0.3">
      <c r="A9" s="2">
        <f t="shared" si="0"/>
        <v>45341</v>
      </c>
      <c r="B9" s="4">
        <v>70</v>
      </c>
    </row>
    <row r="10" spans="1:2" x14ac:dyDescent="0.3">
      <c r="A10" s="2">
        <f t="shared" si="0"/>
        <v>45348</v>
      </c>
      <c r="B10" s="4">
        <v>69</v>
      </c>
    </row>
    <row r="11" spans="1:2" x14ac:dyDescent="0.3">
      <c r="A11" s="2">
        <f t="shared" si="0"/>
        <v>45355</v>
      </c>
      <c r="B11" s="4">
        <v>50</v>
      </c>
    </row>
    <row r="12" spans="1:2" x14ac:dyDescent="0.3">
      <c r="A12" s="2">
        <f t="shared" si="0"/>
        <v>45362</v>
      </c>
      <c r="B12" s="4">
        <v>61</v>
      </c>
    </row>
    <row r="13" spans="1:2" x14ac:dyDescent="0.3">
      <c r="A13" s="2">
        <f t="shared" si="0"/>
        <v>45369</v>
      </c>
      <c r="B13" s="4">
        <v>76</v>
      </c>
    </row>
    <row r="14" spans="1:2" x14ac:dyDescent="0.3">
      <c r="A14" s="2">
        <f t="shared" si="0"/>
        <v>45376</v>
      </c>
      <c r="B14" s="4">
        <v>94</v>
      </c>
    </row>
    <row r="15" spans="1:2" x14ac:dyDescent="0.3">
      <c r="A15" s="2">
        <f t="shared" si="0"/>
        <v>45383</v>
      </c>
      <c r="B15" s="4">
        <v>92</v>
      </c>
    </row>
    <row r="16" spans="1:2" x14ac:dyDescent="0.3">
      <c r="A16" s="2">
        <f t="shared" si="0"/>
        <v>45390</v>
      </c>
      <c r="B16" s="4">
        <v>74</v>
      </c>
    </row>
    <row r="17" spans="1:2" x14ac:dyDescent="0.3">
      <c r="A17" s="2">
        <f t="shared" si="0"/>
        <v>45397</v>
      </c>
      <c r="B17" s="4">
        <v>63</v>
      </c>
    </row>
    <row r="18" spans="1:2" x14ac:dyDescent="0.3">
      <c r="A18" s="2">
        <f t="shared" si="0"/>
        <v>45404</v>
      </c>
      <c r="B18" s="4">
        <v>62</v>
      </c>
    </row>
    <row r="19" spans="1:2" x14ac:dyDescent="0.3">
      <c r="A19" s="2">
        <f t="shared" si="0"/>
        <v>45411</v>
      </c>
      <c r="B19" s="4">
        <v>85</v>
      </c>
    </row>
    <row r="20" spans="1:2" x14ac:dyDescent="0.3">
      <c r="A20" s="2">
        <f t="shared" si="0"/>
        <v>45418</v>
      </c>
      <c r="B20" s="4">
        <v>80</v>
      </c>
    </row>
    <row r="21" spans="1:2" x14ac:dyDescent="0.3">
      <c r="A21" s="2">
        <f t="shared" si="0"/>
        <v>45425</v>
      </c>
      <c r="B21" s="4">
        <v>58</v>
      </c>
    </row>
    <row r="22" spans="1:2" x14ac:dyDescent="0.3">
      <c r="A22" s="2">
        <f t="shared" si="0"/>
        <v>45432</v>
      </c>
      <c r="B22" s="4">
        <v>45</v>
      </c>
    </row>
    <row r="23" spans="1:2" x14ac:dyDescent="0.3">
      <c r="A23" s="2">
        <f t="shared" si="0"/>
        <v>45439</v>
      </c>
      <c r="B23" s="4">
        <v>50</v>
      </c>
    </row>
    <row r="24" spans="1:2" x14ac:dyDescent="0.3">
      <c r="A24" s="2">
        <f t="shared" si="0"/>
        <v>45446</v>
      </c>
      <c r="B24" s="4">
        <v>110</v>
      </c>
    </row>
    <row r="25" spans="1:2" x14ac:dyDescent="0.3">
      <c r="A25" s="2">
        <f t="shared" si="0"/>
        <v>45453</v>
      </c>
      <c r="B25" s="4">
        <v>67</v>
      </c>
    </row>
    <row r="26" spans="1:2" x14ac:dyDescent="0.3">
      <c r="A26" s="2">
        <f t="shared" si="0"/>
        <v>45460</v>
      </c>
      <c r="B26" s="4">
        <v>81</v>
      </c>
    </row>
    <row r="27" spans="1:2" x14ac:dyDescent="0.3">
      <c r="A27" s="2">
        <f t="shared" si="0"/>
        <v>45467</v>
      </c>
      <c r="B27" s="4">
        <v>81</v>
      </c>
    </row>
    <row r="28" spans="1:2" x14ac:dyDescent="0.3">
      <c r="A28" s="2">
        <f t="shared" si="0"/>
        <v>45474</v>
      </c>
      <c r="B28" s="4">
        <v>50</v>
      </c>
    </row>
    <row r="29" spans="1:2" x14ac:dyDescent="0.3">
      <c r="A29" s="2">
        <f t="shared" si="0"/>
        <v>45481</v>
      </c>
      <c r="B29" s="4">
        <v>48</v>
      </c>
    </row>
    <row r="30" spans="1:2" x14ac:dyDescent="0.3">
      <c r="A30" s="2">
        <f t="shared" si="0"/>
        <v>45488</v>
      </c>
      <c r="B30" s="4">
        <v>38</v>
      </c>
    </row>
    <row r="31" spans="1:2" x14ac:dyDescent="0.3">
      <c r="A31" s="2">
        <f t="shared" si="0"/>
        <v>45495</v>
      </c>
      <c r="B31" s="4">
        <v>78</v>
      </c>
    </row>
    <row r="32" spans="1:2" x14ac:dyDescent="0.3">
      <c r="A32" s="2">
        <f t="shared" si="0"/>
        <v>45502</v>
      </c>
      <c r="B32" s="4">
        <v>73</v>
      </c>
    </row>
    <row r="33" spans="1:2" x14ac:dyDescent="0.3">
      <c r="A33" s="2">
        <f t="shared" si="0"/>
        <v>45509</v>
      </c>
      <c r="B33" s="4">
        <v>89</v>
      </c>
    </row>
    <row r="34" spans="1:2" x14ac:dyDescent="0.3">
      <c r="A34" s="2">
        <f t="shared" si="0"/>
        <v>45516</v>
      </c>
      <c r="B34" s="4">
        <v>77</v>
      </c>
    </row>
    <row r="35" spans="1:2" x14ac:dyDescent="0.3">
      <c r="A35" s="2">
        <f t="shared" si="0"/>
        <v>45523</v>
      </c>
      <c r="B35" s="4">
        <v>82</v>
      </c>
    </row>
    <row r="36" spans="1:2" x14ac:dyDescent="0.3">
      <c r="A36" s="2">
        <f t="shared" si="0"/>
        <v>45530</v>
      </c>
      <c r="B36" s="4">
        <v>99</v>
      </c>
    </row>
    <row r="37" spans="1:2" x14ac:dyDescent="0.3">
      <c r="A37" s="2">
        <f t="shared" si="0"/>
        <v>45537</v>
      </c>
      <c r="B37" s="4">
        <v>66</v>
      </c>
    </row>
    <row r="38" spans="1:2" x14ac:dyDescent="0.3">
      <c r="A38" s="2">
        <f t="shared" si="0"/>
        <v>45544</v>
      </c>
      <c r="B38" s="4">
        <v>56</v>
      </c>
    </row>
    <row r="39" spans="1:2" x14ac:dyDescent="0.3">
      <c r="A39" s="2">
        <f t="shared" si="0"/>
        <v>45551</v>
      </c>
      <c r="B39" s="4">
        <v>53</v>
      </c>
    </row>
    <row r="40" spans="1:2" x14ac:dyDescent="0.3">
      <c r="A40" s="2">
        <f t="shared" si="0"/>
        <v>45558</v>
      </c>
      <c r="B40" s="4">
        <v>34</v>
      </c>
    </row>
    <row r="41" spans="1:2" x14ac:dyDescent="0.3">
      <c r="A41" s="2">
        <f t="shared" si="0"/>
        <v>45565</v>
      </c>
      <c r="B41" s="4">
        <v>55</v>
      </c>
    </row>
    <row r="42" spans="1:2" x14ac:dyDescent="0.3">
      <c r="A42" s="2">
        <f t="shared" si="0"/>
        <v>45572</v>
      </c>
      <c r="B42" s="4">
        <v>72</v>
      </c>
    </row>
    <row r="43" spans="1:2" x14ac:dyDescent="0.3">
      <c r="A43" s="2">
        <f t="shared" si="0"/>
        <v>45579</v>
      </c>
      <c r="B43" s="4">
        <v>65</v>
      </c>
    </row>
    <row r="44" spans="1:2" x14ac:dyDescent="0.3">
      <c r="A44" s="2">
        <f t="shared" si="0"/>
        <v>45586</v>
      </c>
      <c r="B44" s="4">
        <v>53</v>
      </c>
    </row>
    <row r="45" spans="1:2" x14ac:dyDescent="0.3">
      <c r="A45" s="2">
        <f t="shared" si="0"/>
        <v>45593</v>
      </c>
      <c r="B45" s="4">
        <v>73</v>
      </c>
    </row>
    <row r="46" spans="1:2" x14ac:dyDescent="0.3">
      <c r="A46" s="2">
        <f t="shared" si="0"/>
        <v>45600</v>
      </c>
      <c r="B46" s="4">
        <v>153</v>
      </c>
    </row>
    <row r="47" spans="1:2" x14ac:dyDescent="0.3">
      <c r="A47" s="2">
        <f t="shared" si="0"/>
        <v>45607</v>
      </c>
      <c r="B47" s="4">
        <v>86</v>
      </c>
    </row>
    <row r="48" spans="1:2" x14ac:dyDescent="0.3">
      <c r="A48" s="2">
        <f t="shared" si="0"/>
        <v>45614</v>
      </c>
      <c r="B48" s="4">
        <v>50</v>
      </c>
    </row>
    <row r="49" spans="1:2" x14ac:dyDescent="0.3">
      <c r="A49" s="2">
        <f t="shared" si="0"/>
        <v>45621</v>
      </c>
      <c r="B49" s="4">
        <v>76</v>
      </c>
    </row>
    <row r="50" spans="1:2" x14ac:dyDescent="0.3">
      <c r="A50" s="2">
        <f t="shared" si="0"/>
        <v>45628</v>
      </c>
      <c r="B50" s="4">
        <v>43</v>
      </c>
    </row>
    <row r="51" spans="1:2" x14ac:dyDescent="0.3">
      <c r="A51" s="2">
        <f t="shared" si="0"/>
        <v>45635</v>
      </c>
      <c r="B51" s="4">
        <v>41</v>
      </c>
    </row>
    <row r="52" spans="1:2" x14ac:dyDescent="0.3">
      <c r="A52" s="2">
        <f t="shared" si="0"/>
        <v>45642</v>
      </c>
      <c r="B52" s="4">
        <v>24</v>
      </c>
    </row>
    <row r="53" spans="1:2" x14ac:dyDescent="0.3">
      <c r="A53" s="2">
        <f t="shared" si="0"/>
        <v>45649</v>
      </c>
      <c r="B53" s="4">
        <v>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9911-A7E0-4411-9D31-4E0433387D0A}">
  <dimension ref="A1:S110"/>
  <sheetViews>
    <sheetView tabSelected="1" topLeftCell="G104" workbookViewId="0">
      <selection activeCell="Q104" sqref="Q104"/>
    </sheetView>
  </sheetViews>
  <sheetFormatPr defaultRowHeight="14.4" x14ac:dyDescent="0.3"/>
  <cols>
    <col min="1" max="1" width="7.88671875" style="5" customWidth="1"/>
    <col min="2" max="2" width="9.6640625" style="5" customWidth="1"/>
    <col min="3" max="3" width="4.44140625" style="5" customWidth="1"/>
    <col min="4" max="4" width="6.6640625" customWidth="1"/>
    <col min="5" max="5" width="5.21875" style="5" customWidth="1"/>
    <col min="6" max="6" width="5.109375" style="5" customWidth="1"/>
    <col min="7" max="7" width="6.33203125" style="5" customWidth="1"/>
    <col min="8" max="8" width="3" customWidth="1"/>
    <col min="9" max="9" width="5.88671875" customWidth="1"/>
    <col min="10" max="10" width="7.33203125" customWidth="1"/>
    <col min="11" max="11" width="5.77734375" customWidth="1"/>
    <col min="12" max="12" width="8.109375" customWidth="1"/>
    <col min="13" max="13" width="7" customWidth="1"/>
    <col min="14" max="14" width="4.109375" style="5" customWidth="1"/>
    <col min="15" max="15" width="32.33203125" style="7" customWidth="1"/>
    <col min="16" max="16" width="33.77734375" style="7" customWidth="1"/>
    <col min="17" max="17" width="27.21875" style="7" customWidth="1"/>
    <col min="18" max="18" width="27.77734375" style="7" customWidth="1"/>
    <col min="19" max="19" width="27.77734375" customWidth="1"/>
  </cols>
  <sheetData>
    <row r="1" spans="1:19" x14ac:dyDescent="0.3">
      <c r="A1" s="5" t="s">
        <v>2</v>
      </c>
      <c r="B1" s="5" t="s">
        <v>3</v>
      </c>
      <c r="C1" s="5" t="s">
        <v>4</v>
      </c>
      <c r="D1" t="s">
        <v>5</v>
      </c>
      <c r="E1" s="5" t="s">
        <v>6</v>
      </c>
      <c r="F1" s="5" t="s">
        <v>7</v>
      </c>
      <c r="G1" s="5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s="5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t="s">
        <v>20</v>
      </c>
    </row>
    <row r="2" spans="1:19" x14ac:dyDescent="0.3">
      <c r="A2" s="5">
        <v>261696</v>
      </c>
      <c r="B2" s="6">
        <v>44531</v>
      </c>
      <c r="C2" s="5">
        <v>1</v>
      </c>
      <c r="D2" t="s">
        <v>21</v>
      </c>
      <c r="E2" s="5">
        <v>2021</v>
      </c>
      <c r="F2" s="5">
        <v>39</v>
      </c>
      <c r="G2" s="5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s="5">
        <v>4</v>
      </c>
      <c r="O2" s="7">
        <v>1252</v>
      </c>
      <c r="P2" s="7">
        <v>2295</v>
      </c>
      <c r="Q2" s="7">
        <v>4172</v>
      </c>
      <c r="R2" s="7">
        <v>5008</v>
      </c>
      <c r="S2">
        <v>9180</v>
      </c>
    </row>
    <row r="3" spans="1:19" x14ac:dyDescent="0.3">
      <c r="A3" s="5">
        <v>261695</v>
      </c>
      <c r="B3" s="6">
        <v>44531</v>
      </c>
      <c r="C3" s="5">
        <v>1</v>
      </c>
      <c r="D3" t="s">
        <v>21</v>
      </c>
      <c r="E3" s="5">
        <v>2021</v>
      </c>
      <c r="F3" s="5">
        <v>44</v>
      </c>
      <c r="G3" s="5" t="s">
        <v>22</v>
      </c>
      <c r="H3" t="s">
        <v>29</v>
      </c>
      <c r="I3" t="s">
        <v>30</v>
      </c>
      <c r="J3" t="s">
        <v>31</v>
      </c>
      <c r="K3" t="s">
        <v>26</v>
      </c>
      <c r="L3" t="s">
        <v>27</v>
      </c>
      <c r="M3" t="s">
        <v>32</v>
      </c>
      <c r="N3" s="5">
        <v>1</v>
      </c>
      <c r="O3" s="7">
        <v>1266</v>
      </c>
      <c r="P3" s="7">
        <v>2320</v>
      </c>
      <c r="Q3" s="7">
        <v>1054</v>
      </c>
      <c r="R3" s="7">
        <v>1266</v>
      </c>
      <c r="S3">
        <v>2320</v>
      </c>
    </row>
    <row r="4" spans="1:19" x14ac:dyDescent="0.3">
      <c r="A4" s="5">
        <v>261697</v>
      </c>
      <c r="B4" s="6">
        <v>44532</v>
      </c>
      <c r="C4" s="5">
        <v>2</v>
      </c>
      <c r="D4" t="s">
        <v>21</v>
      </c>
      <c r="E4" s="5">
        <v>2021</v>
      </c>
      <c r="F4" s="5">
        <v>37</v>
      </c>
      <c r="G4" s="5" t="s">
        <v>22</v>
      </c>
      <c r="H4" t="s">
        <v>29</v>
      </c>
      <c r="I4" t="s">
        <v>24</v>
      </c>
      <c r="J4" t="s">
        <v>25</v>
      </c>
      <c r="K4" t="s">
        <v>26</v>
      </c>
      <c r="L4" t="s">
        <v>27</v>
      </c>
      <c r="M4" t="s">
        <v>33</v>
      </c>
      <c r="N4" s="5">
        <v>2</v>
      </c>
      <c r="O4" s="7">
        <v>420</v>
      </c>
      <c r="P4" s="7">
        <v>769</v>
      </c>
      <c r="Q4" s="7">
        <v>698</v>
      </c>
      <c r="R4" s="7">
        <v>840</v>
      </c>
      <c r="S4">
        <v>1538</v>
      </c>
    </row>
    <row r="5" spans="1:19" x14ac:dyDescent="0.3">
      <c r="A5" s="5">
        <v>261698</v>
      </c>
      <c r="B5" s="6">
        <v>44532</v>
      </c>
      <c r="C5" s="5">
        <v>2</v>
      </c>
      <c r="D5" t="s">
        <v>21</v>
      </c>
      <c r="E5" s="5">
        <v>2021</v>
      </c>
      <c r="F5" s="5">
        <v>31</v>
      </c>
      <c r="G5" s="5" t="s">
        <v>34</v>
      </c>
      <c r="H5" t="s">
        <v>23</v>
      </c>
      <c r="I5" t="s">
        <v>35</v>
      </c>
      <c r="J5" t="s">
        <v>36</v>
      </c>
      <c r="K5" t="s">
        <v>26</v>
      </c>
      <c r="L5" t="s">
        <v>27</v>
      </c>
      <c r="M5" t="s">
        <v>37</v>
      </c>
      <c r="N5" s="5">
        <v>1</v>
      </c>
      <c r="O5" s="7">
        <v>420</v>
      </c>
      <c r="P5" s="7">
        <v>769</v>
      </c>
      <c r="Q5" s="7">
        <v>349</v>
      </c>
      <c r="R5" s="7">
        <v>420</v>
      </c>
      <c r="S5">
        <v>769</v>
      </c>
    </row>
    <row r="6" spans="1:19" x14ac:dyDescent="0.3">
      <c r="A6" s="5">
        <v>261699</v>
      </c>
      <c r="B6" s="6">
        <v>44533</v>
      </c>
      <c r="C6" s="5">
        <v>3</v>
      </c>
      <c r="D6" t="s">
        <v>21</v>
      </c>
      <c r="E6" s="5">
        <v>2021</v>
      </c>
      <c r="F6" s="5">
        <v>37</v>
      </c>
      <c r="G6" s="5" t="s">
        <v>22</v>
      </c>
      <c r="H6" t="s">
        <v>23</v>
      </c>
      <c r="I6" t="s">
        <v>24</v>
      </c>
      <c r="J6" t="s">
        <v>25</v>
      </c>
      <c r="K6" t="s">
        <v>26</v>
      </c>
      <c r="L6" t="s">
        <v>27</v>
      </c>
      <c r="M6" t="s">
        <v>28</v>
      </c>
      <c r="N6" s="5">
        <v>2</v>
      </c>
      <c r="O6" s="7">
        <v>1252</v>
      </c>
      <c r="P6" s="7">
        <v>2295</v>
      </c>
      <c r="Q6" s="7">
        <v>2086</v>
      </c>
      <c r="R6" s="7">
        <v>2504</v>
      </c>
      <c r="S6">
        <v>4590</v>
      </c>
    </row>
    <row r="7" spans="1:19" x14ac:dyDescent="0.3">
      <c r="A7" s="5">
        <v>261700</v>
      </c>
      <c r="B7" s="6">
        <v>44533</v>
      </c>
      <c r="C7" s="5">
        <v>3</v>
      </c>
      <c r="D7" t="s">
        <v>21</v>
      </c>
      <c r="E7" s="5">
        <v>2021</v>
      </c>
      <c r="F7" s="5">
        <v>24</v>
      </c>
      <c r="G7" s="5" t="s">
        <v>38</v>
      </c>
      <c r="H7" t="s">
        <v>23</v>
      </c>
      <c r="I7" t="s">
        <v>30</v>
      </c>
      <c r="J7" t="s">
        <v>31</v>
      </c>
      <c r="K7" t="s">
        <v>26</v>
      </c>
      <c r="L7" t="s">
        <v>27</v>
      </c>
      <c r="M7" t="s">
        <v>39</v>
      </c>
      <c r="N7" s="5">
        <v>1</v>
      </c>
      <c r="O7" s="7">
        <v>1252</v>
      </c>
      <c r="P7" s="7">
        <v>2295</v>
      </c>
      <c r="Q7" s="7">
        <v>1043</v>
      </c>
      <c r="R7" s="7">
        <v>1252</v>
      </c>
      <c r="S7">
        <v>2295</v>
      </c>
    </row>
    <row r="8" spans="1:19" x14ac:dyDescent="0.3">
      <c r="A8" s="5">
        <v>261701</v>
      </c>
      <c r="B8" s="6">
        <v>44533</v>
      </c>
      <c r="C8" s="5">
        <v>3</v>
      </c>
      <c r="D8" t="s">
        <v>21</v>
      </c>
      <c r="E8" s="5">
        <v>2021</v>
      </c>
      <c r="F8" s="5">
        <v>37</v>
      </c>
      <c r="G8" s="5" t="s">
        <v>22</v>
      </c>
      <c r="H8" t="s">
        <v>29</v>
      </c>
      <c r="I8" t="s">
        <v>24</v>
      </c>
      <c r="J8" t="s">
        <v>40</v>
      </c>
      <c r="K8" t="s">
        <v>26</v>
      </c>
      <c r="L8" t="s">
        <v>27</v>
      </c>
      <c r="M8" t="s">
        <v>28</v>
      </c>
      <c r="N8" s="5">
        <v>1</v>
      </c>
      <c r="O8" s="7">
        <v>1252</v>
      </c>
      <c r="P8" s="7">
        <v>2295</v>
      </c>
      <c r="Q8" s="7">
        <v>1043</v>
      </c>
      <c r="R8" s="7">
        <v>1252</v>
      </c>
      <c r="S8">
        <v>2295</v>
      </c>
    </row>
    <row r="9" spans="1:19" x14ac:dyDescent="0.3">
      <c r="A9" s="5">
        <v>261702</v>
      </c>
      <c r="B9" s="6">
        <v>44534</v>
      </c>
      <c r="C9" s="5">
        <v>4</v>
      </c>
      <c r="D9" t="s">
        <v>21</v>
      </c>
      <c r="E9" s="5">
        <v>2021</v>
      </c>
      <c r="F9" s="5">
        <v>31</v>
      </c>
      <c r="G9" s="5" t="s">
        <v>34</v>
      </c>
      <c r="H9" t="s">
        <v>23</v>
      </c>
      <c r="I9" t="s">
        <v>35</v>
      </c>
      <c r="J9" t="s">
        <v>36</v>
      </c>
      <c r="K9" t="s">
        <v>26</v>
      </c>
      <c r="L9" t="s">
        <v>27</v>
      </c>
      <c r="M9" t="s">
        <v>37</v>
      </c>
      <c r="N9" s="5">
        <v>4</v>
      </c>
      <c r="O9" s="7">
        <v>420</v>
      </c>
      <c r="P9" s="7">
        <v>769</v>
      </c>
      <c r="Q9" s="7">
        <v>1396</v>
      </c>
      <c r="R9" s="7">
        <v>1680</v>
      </c>
      <c r="S9">
        <v>3076</v>
      </c>
    </row>
    <row r="10" spans="1:19" x14ac:dyDescent="0.3">
      <c r="A10" s="5">
        <v>261703</v>
      </c>
      <c r="B10" s="6">
        <v>44535</v>
      </c>
      <c r="C10" s="5">
        <v>5</v>
      </c>
      <c r="D10" t="s">
        <v>21</v>
      </c>
      <c r="E10" s="5">
        <v>2021</v>
      </c>
      <c r="F10" s="5">
        <v>39</v>
      </c>
      <c r="G10" s="5" t="s">
        <v>22</v>
      </c>
      <c r="H10" t="s">
        <v>23</v>
      </c>
      <c r="I10" t="s">
        <v>24</v>
      </c>
      <c r="J10" t="s">
        <v>25</v>
      </c>
      <c r="K10" t="s">
        <v>26</v>
      </c>
      <c r="L10" t="s">
        <v>27</v>
      </c>
      <c r="M10" t="s">
        <v>28</v>
      </c>
      <c r="N10" s="5">
        <v>4</v>
      </c>
      <c r="O10" s="7">
        <v>1252</v>
      </c>
      <c r="P10" s="7">
        <v>2295</v>
      </c>
      <c r="Q10" s="7">
        <v>4172</v>
      </c>
      <c r="R10" s="7">
        <v>5008</v>
      </c>
      <c r="S10">
        <v>9180</v>
      </c>
    </row>
    <row r="11" spans="1:19" x14ac:dyDescent="0.3">
      <c r="A11" s="5">
        <v>261704</v>
      </c>
      <c r="B11" s="6">
        <v>44535</v>
      </c>
      <c r="C11" s="5">
        <v>5</v>
      </c>
      <c r="D11" t="s">
        <v>21</v>
      </c>
      <c r="E11" s="5">
        <v>2021</v>
      </c>
      <c r="F11" s="5">
        <v>42</v>
      </c>
      <c r="G11" s="5" t="s">
        <v>22</v>
      </c>
      <c r="H11" t="s">
        <v>29</v>
      </c>
      <c r="I11" t="s">
        <v>41</v>
      </c>
      <c r="J11" t="s">
        <v>42</v>
      </c>
      <c r="K11" t="s">
        <v>26</v>
      </c>
      <c r="L11" t="s">
        <v>27</v>
      </c>
      <c r="M11" t="s">
        <v>39</v>
      </c>
      <c r="N11" s="5">
        <v>4</v>
      </c>
      <c r="O11" s="7">
        <v>1252</v>
      </c>
      <c r="P11" s="7">
        <v>2295</v>
      </c>
      <c r="Q11" s="7">
        <v>4172</v>
      </c>
      <c r="R11" s="7">
        <v>5008</v>
      </c>
      <c r="S11">
        <v>9180</v>
      </c>
    </row>
    <row r="12" spans="1:19" x14ac:dyDescent="0.3">
      <c r="A12" s="5">
        <v>261705</v>
      </c>
      <c r="B12" s="6">
        <v>44535</v>
      </c>
      <c r="C12" s="5">
        <v>5</v>
      </c>
      <c r="D12" t="s">
        <v>21</v>
      </c>
      <c r="E12" s="5">
        <v>2021</v>
      </c>
      <c r="F12" s="5">
        <v>35</v>
      </c>
      <c r="G12" s="5" t="s">
        <v>22</v>
      </c>
      <c r="H12" t="s">
        <v>23</v>
      </c>
      <c r="I12" t="s">
        <v>35</v>
      </c>
      <c r="J12" t="s">
        <v>43</v>
      </c>
      <c r="K12" t="s">
        <v>26</v>
      </c>
      <c r="L12" t="s">
        <v>27</v>
      </c>
      <c r="M12" t="s">
        <v>44</v>
      </c>
      <c r="N12" s="5">
        <v>1</v>
      </c>
      <c r="O12" s="7">
        <v>1266</v>
      </c>
      <c r="P12" s="7">
        <v>2320</v>
      </c>
      <c r="Q12" s="7">
        <v>1054</v>
      </c>
      <c r="R12" s="7">
        <v>1266</v>
      </c>
      <c r="S12">
        <v>2320</v>
      </c>
    </row>
    <row r="13" spans="1:19" x14ac:dyDescent="0.3">
      <c r="A13" s="5">
        <v>261706</v>
      </c>
      <c r="B13" s="6">
        <v>44535</v>
      </c>
      <c r="C13" s="5">
        <v>5</v>
      </c>
      <c r="D13" t="s">
        <v>21</v>
      </c>
      <c r="E13" s="5">
        <v>2021</v>
      </c>
      <c r="F13" s="5">
        <v>37</v>
      </c>
      <c r="G13" s="5" t="s">
        <v>22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28</v>
      </c>
      <c r="N13" s="5">
        <v>1</v>
      </c>
      <c r="O13" s="7">
        <v>1252</v>
      </c>
      <c r="P13" s="7">
        <v>2295</v>
      </c>
      <c r="Q13" s="7">
        <v>1043</v>
      </c>
      <c r="R13" s="7">
        <v>1252</v>
      </c>
      <c r="S13">
        <v>2295</v>
      </c>
    </row>
    <row r="14" spans="1:19" x14ac:dyDescent="0.3">
      <c r="A14" s="5">
        <v>261707</v>
      </c>
      <c r="B14" s="6">
        <v>44536</v>
      </c>
      <c r="C14" s="5">
        <v>6</v>
      </c>
      <c r="D14" t="s">
        <v>21</v>
      </c>
      <c r="E14" s="5">
        <v>2021</v>
      </c>
      <c r="F14" s="5">
        <v>23</v>
      </c>
      <c r="G14" s="5" t="s">
        <v>38</v>
      </c>
      <c r="H14" t="s">
        <v>29</v>
      </c>
      <c r="I14" t="s">
        <v>30</v>
      </c>
      <c r="J14" t="s">
        <v>31</v>
      </c>
      <c r="K14" t="s">
        <v>26</v>
      </c>
      <c r="L14" t="s">
        <v>27</v>
      </c>
      <c r="M14" t="s">
        <v>33</v>
      </c>
      <c r="N14" s="5">
        <v>3</v>
      </c>
      <c r="O14" s="7">
        <v>420</v>
      </c>
      <c r="P14" s="7">
        <v>769</v>
      </c>
      <c r="Q14" s="7">
        <v>1047</v>
      </c>
      <c r="R14" s="7">
        <v>1260</v>
      </c>
      <c r="S14">
        <v>2307</v>
      </c>
    </row>
    <row r="15" spans="1:19" x14ac:dyDescent="0.3">
      <c r="A15" s="5">
        <v>261708</v>
      </c>
      <c r="B15" s="6">
        <v>44536</v>
      </c>
      <c r="C15" s="5">
        <v>6</v>
      </c>
      <c r="D15" t="s">
        <v>21</v>
      </c>
      <c r="E15" s="5">
        <v>2021</v>
      </c>
      <c r="F15" s="5">
        <v>27</v>
      </c>
      <c r="G15" s="5" t="s">
        <v>34</v>
      </c>
      <c r="H15" t="s">
        <v>29</v>
      </c>
      <c r="I15" t="s">
        <v>45</v>
      </c>
      <c r="J15" t="s">
        <v>46</v>
      </c>
      <c r="K15" t="s">
        <v>26</v>
      </c>
      <c r="L15" t="s">
        <v>27</v>
      </c>
      <c r="M15" t="s">
        <v>28</v>
      </c>
      <c r="N15" s="5">
        <v>1</v>
      </c>
      <c r="O15" s="7">
        <v>1252</v>
      </c>
      <c r="P15" s="7">
        <v>2295</v>
      </c>
      <c r="Q15" s="7">
        <v>1043</v>
      </c>
      <c r="R15" s="7">
        <v>1252</v>
      </c>
      <c r="S15">
        <v>2295</v>
      </c>
    </row>
    <row r="16" spans="1:19" x14ac:dyDescent="0.3">
      <c r="A16" s="5">
        <v>261709</v>
      </c>
      <c r="B16" s="6">
        <v>44536</v>
      </c>
      <c r="C16" s="5">
        <v>6</v>
      </c>
      <c r="D16" t="s">
        <v>21</v>
      </c>
      <c r="E16" s="5">
        <v>2021</v>
      </c>
      <c r="F16" s="5">
        <v>36</v>
      </c>
      <c r="G16" s="5" t="s">
        <v>22</v>
      </c>
      <c r="H16" t="s">
        <v>29</v>
      </c>
      <c r="I16" t="s">
        <v>35</v>
      </c>
      <c r="J16" t="s">
        <v>36</v>
      </c>
      <c r="K16" t="s">
        <v>26</v>
      </c>
      <c r="L16" t="s">
        <v>27</v>
      </c>
      <c r="M16" t="s">
        <v>47</v>
      </c>
      <c r="N16" s="5">
        <v>1</v>
      </c>
      <c r="O16" s="7">
        <v>1252</v>
      </c>
      <c r="P16" s="7">
        <v>2295</v>
      </c>
      <c r="Q16" s="7">
        <v>1043</v>
      </c>
      <c r="R16" s="7">
        <v>1252</v>
      </c>
      <c r="S16">
        <v>2295</v>
      </c>
    </row>
    <row r="17" spans="1:19" x14ac:dyDescent="0.3">
      <c r="A17" s="5">
        <v>261710</v>
      </c>
      <c r="B17" s="6">
        <v>44536</v>
      </c>
      <c r="C17" s="5">
        <v>6</v>
      </c>
      <c r="D17" t="s">
        <v>21</v>
      </c>
      <c r="E17" s="5">
        <v>2021</v>
      </c>
      <c r="F17" s="5">
        <v>47</v>
      </c>
      <c r="G17" s="5" t="s">
        <v>22</v>
      </c>
      <c r="H17" t="s">
        <v>29</v>
      </c>
      <c r="I17" t="s">
        <v>30</v>
      </c>
      <c r="J17" t="s">
        <v>31</v>
      </c>
      <c r="K17" t="s">
        <v>26</v>
      </c>
      <c r="L17" t="s">
        <v>27</v>
      </c>
      <c r="M17" t="s">
        <v>44</v>
      </c>
      <c r="N17" s="5">
        <v>1</v>
      </c>
      <c r="O17" s="7">
        <v>1266</v>
      </c>
      <c r="P17" s="7">
        <v>2320</v>
      </c>
      <c r="Q17" s="7">
        <v>1054</v>
      </c>
      <c r="R17" s="7">
        <v>1266</v>
      </c>
      <c r="S17">
        <v>2320</v>
      </c>
    </row>
    <row r="18" spans="1:19" x14ac:dyDescent="0.3">
      <c r="A18" s="5">
        <v>261711</v>
      </c>
      <c r="B18" s="6">
        <v>44537</v>
      </c>
      <c r="C18" s="5">
        <v>7</v>
      </c>
      <c r="D18" t="s">
        <v>21</v>
      </c>
      <c r="E18" s="5">
        <v>2021</v>
      </c>
      <c r="F18" s="5">
        <v>30</v>
      </c>
      <c r="G18" s="5" t="s">
        <v>34</v>
      </c>
      <c r="H18" t="s">
        <v>29</v>
      </c>
      <c r="I18" t="s">
        <v>24</v>
      </c>
      <c r="J18" t="s">
        <v>25</v>
      </c>
      <c r="K18" t="s">
        <v>26</v>
      </c>
      <c r="L18" t="s">
        <v>27</v>
      </c>
      <c r="M18" t="s">
        <v>48</v>
      </c>
      <c r="N18" s="5">
        <v>4</v>
      </c>
      <c r="O18" s="7">
        <v>420</v>
      </c>
      <c r="P18" s="7">
        <v>769</v>
      </c>
      <c r="Q18" s="7">
        <v>1396</v>
      </c>
      <c r="R18" s="7">
        <v>1680</v>
      </c>
      <c r="S18">
        <v>3076</v>
      </c>
    </row>
    <row r="19" spans="1:19" x14ac:dyDescent="0.3">
      <c r="A19" s="5">
        <v>261712</v>
      </c>
      <c r="B19" s="6">
        <v>44537</v>
      </c>
      <c r="C19" s="5">
        <v>7</v>
      </c>
      <c r="D19" t="s">
        <v>21</v>
      </c>
      <c r="E19" s="5">
        <v>2021</v>
      </c>
      <c r="F19" s="5">
        <v>38</v>
      </c>
      <c r="G19" s="5" t="s">
        <v>22</v>
      </c>
      <c r="H19" t="s">
        <v>29</v>
      </c>
      <c r="I19" t="s">
        <v>24</v>
      </c>
      <c r="J19" t="s">
        <v>25</v>
      </c>
      <c r="K19" t="s">
        <v>26</v>
      </c>
      <c r="L19" t="s">
        <v>27</v>
      </c>
      <c r="M19" t="s">
        <v>32</v>
      </c>
      <c r="N19" s="5">
        <v>2</v>
      </c>
      <c r="O19" s="7">
        <v>1266</v>
      </c>
      <c r="P19" s="7">
        <v>2320</v>
      </c>
      <c r="Q19" s="7">
        <v>2108</v>
      </c>
      <c r="R19" s="7">
        <v>2532</v>
      </c>
      <c r="S19">
        <v>4640</v>
      </c>
    </row>
    <row r="20" spans="1:19" x14ac:dyDescent="0.3">
      <c r="A20" s="5">
        <v>261713</v>
      </c>
      <c r="B20" s="6">
        <v>44538</v>
      </c>
      <c r="C20" s="5">
        <v>8</v>
      </c>
      <c r="D20" t="s">
        <v>21</v>
      </c>
      <c r="E20" s="5">
        <v>2021</v>
      </c>
      <c r="F20" s="5">
        <v>19</v>
      </c>
      <c r="G20" s="5" t="s">
        <v>38</v>
      </c>
      <c r="H20" t="s">
        <v>23</v>
      </c>
      <c r="I20" t="s">
        <v>35</v>
      </c>
      <c r="J20" t="s">
        <v>36</v>
      </c>
      <c r="K20" t="s">
        <v>26</v>
      </c>
      <c r="L20" t="s">
        <v>27</v>
      </c>
      <c r="M20" t="s">
        <v>49</v>
      </c>
      <c r="N20" s="5">
        <v>4</v>
      </c>
      <c r="O20" s="7">
        <v>308</v>
      </c>
      <c r="P20" s="7">
        <v>565</v>
      </c>
      <c r="Q20" s="7">
        <v>1028</v>
      </c>
      <c r="R20" s="7">
        <v>1232</v>
      </c>
      <c r="S20">
        <v>2260</v>
      </c>
    </row>
    <row r="21" spans="1:19" x14ac:dyDescent="0.3">
      <c r="A21" s="5">
        <v>261714</v>
      </c>
      <c r="B21" s="6">
        <v>44538</v>
      </c>
      <c r="C21" s="5">
        <v>8</v>
      </c>
      <c r="D21" t="s">
        <v>21</v>
      </c>
      <c r="E21" s="5">
        <v>2021</v>
      </c>
      <c r="F21" s="5">
        <v>30</v>
      </c>
      <c r="G21" s="5" t="s">
        <v>34</v>
      </c>
      <c r="H21" t="s">
        <v>23</v>
      </c>
      <c r="I21" t="s">
        <v>45</v>
      </c>
      <c r="J21" t="s">
        <v>46</v>
      </c>
      <c r="K21" t="s">
        <v>26</v>
      </c>
      <c r="L21" t="s">
        <v>27</v>
      </c>
      <c r="M21" t="s">
        <v>44</v>
      </c>
      <c r="N21" s="5">
        <v>4</v>
      </c>
      <c r="O21" s="7">
        <v>1266</v>
      </c>
      <c r="P21" s="7">
        <v>2320</v>
      </c>
      <c r="Q21" s="7">
        <v>4216</v>
      </c>
      <c r="R21" s="7">
        <v>5064</v>
      </c>
      <c r="S21">
        <v>9280</v>
      </c>
    </row>
    <row r="22" spans="1:19" x14ac:dyDescent="0.3">
      <c r="A22" s="5">
        <v>261715</v>
      </c>
      <c r="B22" s="6">
        <v>44538</v>
      </c>
      <c r="C22" s="5">
        <v>8</v>
      </c>
      <c r="D22" t="s">
        <v>21</v>
      </c>
      <c r="E22" s="5">
        <v>2021</v>
      </c>
      <c r="F22" s="5">
        <v>39</v>
      </c>
      <c r="G22" s="5" t="s">
        <v>22</v>
      </c>
      <c r="H22" t="s">
        <v>23</v>
      </c>
      <c r="I22" t="s">
        <v>24</v>
      </c>
      <c r="J22" t="s">
        <v>50</v>
      </c>
      <c r="K22" t="s">
        <v>26</v>
      </c>
      <c r="L22" t="s">
        <v>27</v>
      </c>
      <c r="M22" t="s">
        <v>51</v>
      </c>
      <c r="N22" s="5">
        <v>2</v>
      </c>
      <c r="O22" s="7">
        <v>1252</v>
      </c>
      <c r="P22" s="7">
        <v>2295</v>
      </c>
      <c r="Q22" s="7">
        <v>2086</v>
      </c>
      <c r="R22" s="7">
        <v>2504</v>
      </c>
      <c r="S22">
        <v>4590</v>
      </c>
    </row>
    <row r="23" spans="1:19" x14ac:dyDescent="0.3">
      <c r="A23" s="5">
        <v>261716</v>
      </c>
      <c r="B23" s="6">
        <v>44538</v>
      </c>
      <c r="C23" s="5">
        <v>8</v>
      </c>
      <c r="D23" t="s">
        <v>21</v>
      </c>
      <c r="E23" s="5">
        <v>2021</v>
      </c>
      <c r="F23" s="5">
        <v>35</v>
      </c>
      <c r="G23" s="5" t="s">
        <v>22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51</v>
      </c>
      <c r="N23" s="5">
        <v>1</v>
      </c>
      <c r="O23" s="7">
        <v>295</v>
      </c>
      <c r="P23" s="7">
        <v>540</v>
      </c>
      <c r="Q23" s="7">
        <v>245</v>
      </c>
      <c r="R23" s="7">
        <v>295</v>
      </c>
      <c r="S23">
        <v>540</v>
      </c>
    </row>
    <row r="24" spans="1:19" x14ac:dyDescent="0.3">
      <c r="A24" s="5">
        <v>261717</v>
      </c>
      <c r="B24" s="6">
        <v>44539</v>
      </c>
      <c r="C24" s="5">
        <v>9</v>
      </c>
      <c r="D24" t="s">
        <v>21</v>
      </c>
      <c r="E24" s="5">
        <v>2021</v>
      </c>
      <c r="F24" s="5">
        <v>33</v>
      </c>
      <c r="G24" s="5" t="s">
        <v>34</v>
      </c>
      <c r="H24" t="s">
        <v>23</v>
      </c>
      <c r="I24" t="s">
        <v>35</v>
      </c>
      <c r="J24" t="s">
        <v>52</v>
      </c>
      <c r="K24" t="s">
        <v>26</v>
      </c>
      <c r="L24" t="s">
        <v>27</v>
      </c>
      <c r="M24" t="s">
        <v>53</v>
      </c>
      <c r="N24" s="5">
        <v>2</v>
      </c>
      <c r="O24" s="7">
        <v>1898</v>
      </c>
      <c r="P24" s="7">
        <v>3375</v>
      </c>
      <c r="Q24" s="7">
        <v>2954</v>
      </c>
      <c r="R24" s="7">
        <v>3796</v>
      </c>
      <c r="S24">
        <v>6750</v>
      </c>
    </row>
    <row r="25" spans="1:19" x14ac:dyDescent="0.3">
      <c r="A25" s="5">
        <v>261718</v>
      </c>
      <c r="B25" s="6">
        <v>44539</v>
      </c>
      <c r="C25" s="5">
        <v>9</v>
      </c>
      <c r="D25" t="s">
        <v>21</v>
      </c>
      <c r="E25" s="5">
        <v>2021</v>
      </c>
      <c r="F25" s="5">
        <v>41</v>
      </c>
      <c r="G25" s="5" t="s">
        <v>22</v>
      </c>
      <c r="H25" t="s">
        <v>23</v>
      </c>
      <c r="I25" t="s">
        <v>41</v>
      </c>
      <c r="J25" t="s">
        <v>54</v>
      </c>
      <c r="K25" t="s">
        <v>26</v>
      </c>
      <c r="L25" t="s">
        <v>27</v>
      </c>
      <c r="M25" t="s">
        <v>32</v>
      </c>
      <c r="N25" s="5">
        <v>1</v>
      </c>
      <c r="O25" s="7">
        <v>1266</v>
      </c>
      <c r="P25" s="7">
        <v>2320</v>
      </c>
      <c r="Q25" s="7">
        <v>1054</v>
      </c>
      <c r="R25" s="7">
        <v>1266</v>
      </c>
      <c r="S25">
        <v>2320</v>
      </c>
    </row>
    <row r="26" spans="1:19" x14ac:dyDescent="0.3">
      <c r="A26" s="5">
        <v>261719</v>
      </c>
      <c r="B26" s="6">
        <v>44540</v>
      </c>
      <c r="C26" s="5">
        <v>10</v>
      </c>
      <c r="D26" t="s">
        <v>21</v>
      </c>
      <c r="E26" s="5">
        <v>2021</v>
      </c>
      <c r="F26" s="5">
        <v>34</v>
      </c>
      <c r="G26" s="5" t="s">
        <v>34</v>
      </c>
      <c r="H26" t="s">
        <v>23</v>
      </c>
      <c r="I26" t="s">
        <v>24</v>
      </c>
      <c r="J26" t="s">
        <v>25</v>
      </c>
      <c r="K26" t="s">
        <v>26</v>
      </c>
      <c r="L26" t="s">
        <v>27</v>
      </c>
      <c r="M26" t="s">
        <v>47</v>
      </c>
      <c r="N26" s="5">
        <v>2</v>
      </c>
      <c r="O26" s="7">
        <v>1252</v>
      </c>
      <c r="P26" s="7">
        <v>2295</v>
      </c>
      <c r="Q26" s="7">
        <v>2086</v>
      </c>
      <c r="R26" s="7">
        <v>2504</v>
      </c>
      <c r="S26">
        <v>4590</v>
      </c>
    </row>
    <row r="27" spans="1:19" x14ac:dyDescent="0.3">
      <c r="A27" s="5">
        <v>261720</v>
      </c>
      <c r="B27" s="6">
        <v>44540</v>
      </c>
      <c r="C27" s="5">
        <v>10</v>
      </c>
      <c r="D27" t="s">
        <v>21</v>
      </c>
      <c r="E27" s="5">
        <v>2021</v>
      </c>
      <c r="F27" s="5">
        <v>40</v>
      </c>
      <c r="G27" s="5" t="s">
        <v>22</v>
      </c>
      <c r="H27" t="s">
        <v>29</v>
      </c>
      <c r="I27" t="s">
        <v>35</v>
      </c>
      <c r="J27" t="s">
        <v>36</v>
      </c>
      <c r="K27" t="s">
        <v>26</v>
      </c>
      <c r="L27" t="s">
        <v>27</v>
      </c>
      <c r="M27" t="s">
        <v>47</v>
      </c>
      <c r="N27" s="5">
        <v>2</v>
      </c>
      <c r="O27" s="7">
        <v>1252</v>
      </c>
      <c r="P27" s="7">
        <v>2295</v>
      </c>
      <c r="Q27" s="7">
        <v>2086</v>
      </c>
      <c r="R27" s="7">
        <v>2504</v>
      </c>
      <c r="S27">
        <v>4590</v>
      </c>
    </row>
    <row r="28" spans="1:19" x14ac:dyDescent="0.3">
      <c r="A28" s="5">
        <v>261721</v>
      </c>
      <c r="B28" s="6">
        <v>44540</v>
      </c>
      <c r="C28" s="5">
        <v>10</v>
      </c>
      <c r="D28" t="s">
        <v>21</v>
      </c>
      <c r="E28" s="5">
        <v>2021</v>
      </c>
      <c r="F28" s="5">
        <v>26</v>
      </c>
      <c r="G28" s="5" t="s">
        <v>34</v>
      </c>
      <c r="H28" t="s">
        <v>29</v>
      </c>
      <c r="I28" t="s">
        <v>30</v>
      </c>
      <c r="J28" t="s">
        <v>31</v>
      </c>
      <c r="K28" t="s">
        <v>26</v>
      </c>
      <c r="L28" t="s">
        <v>27</v>
      </c>
      <c r="M28" t="s">
        <v>39</v>
      </c>
      <c r="N28" s="5">
        <v>1</v>
      </c>
      <c r="O28" s="7">
        <v>1252</v>
      </c>
      <c r="P28" s="7">
        <v>2295</v>
      </c>
      <c r="Q28" s="7">
        <v>1043</v>
      </c>
      <c r="R28" s="7">
        <v>1252</v>
      </c>
      <c r="S28">
        <v>2295</v>
      </c>
    </row>
    <row r="29" spans="1:19" x14ac:dyDescent="0.3">
      <c r="A29" s="5">
        <v>261722</v>
      </c>
      <c r="B29" s="6">
        <v>44540</v>
      </c>
      <c r="C29" s="5">
        <v>10</v>
      </c>
      <c r="D29" t="s">
        <v>21</v>
      </c>
      <c r="E29" s="5">
        <v>2021</v>
      </c>
      <c r="F29" s="5">
        <v>34</v>
      </c>
      <c r="G29" s="5" t="s">
        <v>34</v>
      </c>
      <c r="H29" t="s">
        <v>29</v>
      </c>
      <c r="I29" t="s">
        <v>24</v>
      </c>
      <c r="J29" t="s">
        <v>25</v>
      </c>
      <c r="K29" t="s">
        <v>26</v>
      </c>
      <c r="L29" t="s">
        <v>27</v>
      </c>
      <c r="M29" t="s">
        <v>55</v>
      </c>
      <c r="N29" s="5">
        <v>1</v>
      </c>
      <c r="O29" s="7">
        <v>295</v>
      </c>
      <c r="P29" s="7">
        <v>540</v>
      </c>
      <c r="Q29" s="7">
        <v>245</v>
      </c>
      <c r="R29" s="7">
        <v>295</v>
      </c>
      <c r="S29">
        <v>540</v>
      </c>
    </row>
    <row r="30" spans="1:19" x14ac:dyDescent="0.3">
      <c r="A30" s="5">
        <v>261723</v>
      </c>
      <c r="B30" s="6">
        <v>44540</v>
      </c>
      <c r="C30" s="5">
        <v>10</v>
      </c>
      <c r="D30" t="s">
        <v>21</v>
      </c>
      <c r="E30" s="5">
        <v>2021</v>
      </c>
      <c r="F30" s="5">
        <v>34</v>
      </c>
      <c r="G30" s="5" t="s">
        <v>34</v>
      </c>
      <c r="H30" t="s">
        <v>23</v>
      </c>
      <c r="I30" t="s">
        <v>24</v>
      </c>
      <c r="J30" t="s">
        <v>40</v>
      </c>
      <c r="K30" t="s">
        <v>26</v>
      </c>
      <c r="L30" t="s">
        <v>27</v>
      </c>
      <c r="M30" t="s">
        <v>56</v>
      </c>
      <c r="N30" s="5">
        <v>1</v>
      </c>
      <c r="O30" s="7">
        <v>1912</v>
      </c>
      <c r="P30" s="7">
        <v>3400</v>
      </c>
      <c r="Q30" s="7">
        <v>1488</v>
      </c>
      <c r="R30" s="7">
        <v>1912</v>
      </c>
      <c r="S30">
        <v>3400</v>
      </c>
    </row>
    <row r="31" spans="1:19" x14ac:dyDescent="0.3">
      <c r="A31" s="5">
        <v>261724</v>
      </c>
      <c r="B31" s="6">
        <v>44540</v>
      </c>
      <c r="C31" s="5">
        <v>10</v>
      </c>
      <c r="D31" t="s">
        <v>21</v>
      </c>
      <c r="E31" s="5">
        <v>2021</v>
      </c>
      <c r="F31" s="5">
        <v>38</v>
      </c>
      <c r="G31" s="5" t="s">
        <v>22</v>
      </c>
      <c r="H31" t="s">
        <v>29</v>
      </c>
      <c r="I31" t="s">
        <v>35</v>
      </c>
      <c r="J31" t="s">
        <v>36</v>
      </c>
      <c r="K31" t="s">
        <v>26</v>
      </c>
      <c r="L31" t="s">
        <v>27</v>
      </c>
      <c r="M31" t="s">
        <v>39</v>
      </c>
      <c r="N31" s="5">
        <v>1</v>
      </c>
      <c r="O31" s="7">
        <v>1252</v>
      </c>
      <c r="P31" s="7">
        <v>2295</v>
      </c>
      <c r="Q31" s="7">
        <v>1043</v>
      </c>
      <c r="R31" s="7">
        <v>1252</v>
      </c>
      <c r="S31">
        <v>2295</v>
      </c>
    </row>
    <row r="32" spans="1:19" x14ac:dyDescent="0.3">
      <c r="A32" s="5">
        <v>261725</v>
      </c>
      <c r="B32" s="6">
        <v>44541</v>
      </c>
      <c r="C32" s="5">
        <v>11</v>
      </c>
      <c r="D32" t="s">
        <v>21</v>
      </c>
      <c r="E32" s="5">
        <v>2021</v>
      </c>
      <c r="F32" s="5">
        <v>24</v>
      </c>
      <c r="G32" s="5" t="s">
        <v>38</v>
      </c>
      <c r="H32" t="s">
        <v>23</v>
      </c>
      <c r="I32" t="s">
        <v>57</v>
      </c>
      <c r="J32" t="s">
        <v>58</v>
      </c>
      <c r="K32" t="s">
        <v>26</v>
      </c>
      <c r="L32" t="s">
        <v>27</v>
      </c>
      <c r="M32" t="s">
        <v>39</v>
      </c>
      <c r="N32" s="5">
        <v>3</v>
      </c>
      <c r="O32" s="7">
        <v>1252</v>
      </c>
      <c r="P32" s="7">
        <v>2295</v>
      </c>
      <c r="Q32" s="7">
        <v>3129</v>
      </c>
      <c r="R32" s="7">
        <v>3756</v>
      </c>
      <c r="S32">
        <v>6885</v>
      </c>
    </row>
    <row r="33" spans="1:19" x14ac:dyDescent="0.3">
      <c r="A33" s="5">
        <v>261726</v>
      </c>
      <c r="B33" s="6">
        <v>44541</v>
      </c>
      <c r="C33" s="5">
        <v>11</v>
      </c>
      <c r="D33" t="s">
        <v>21</v>
      </c>
      <c r="E33" s="5">
        <v>2021</v>
      </c>
      <c r="F33" s="5">
        <v>41</v>
      </c>
      <c r="G33" s="5" t="s">
        <v>22</v>
      </c>
      <c r="H33" t="s">
        <v>23</v>
      </c>
      <c r="I33" t="s">
        <v>35</v>
      </c>
      <c r="J33" t="s">
        <v>36</v>
      </c>
      <c r="K33" t="s">
        <v>26</v>
      </c>
      <c r="L33" t="s">
        <v>27</v>
      </c>
      <c r="M33" t="s">
        <v>48</v>
      </c>
      <c r="N33" s="5">
        <v>2</v>
      </c>
      <c r="O33" s="7">
        <v>420</v>
      </c>
      <c r="P33" s="7">
        <v>769</v>
      </c>
      <c r="Q33" s="7">
        <v>698</v>
      </c>
      <c r="R33" s="7">
        <v>840</v>
      </c>
      <c r="S33">
        <v>1538</v>
      </c>
    </row>
    <row r="34" spans="1:19" x14ac:dyDescent="0.3">
      <c r="A34" s="5">
        <v>261727</v>
      </c>
      <c r="B34" s="6">
        <v>44541</v>
      </c>
      <c r="C34" s="5">
        <v>11</v>
      </c>
      <c r="D34" t="s">
        <v>21</v>
      </c>
      <c r="E34" s="5">
        <v>2021</v>
      </c>
      <c r="F34" s="5">
        <v>27</v>
      </c>
      <c r="G34" s="5" t="s">
        <v>34</v>
      </c>
      <c r="H34" t="s">
        <v>29</v>
      </c>
      <c r="I34" t="s">
        <v>45</v>
      </c>
      <c r="J34" t="s">
        <v>46</v>
      </c>
      <c r="K34" t="s">
        <v>26</v>
      </c>
      <c r="L34" t="s">
        <v>27</v>
      </c>
      <c r="M34" t="s">
        <v>28</v>
      </c>
      <c r="N34" s="5">
        <v>1</v>
      </c>
      <c r="O34" s="7">
        <v>1252</v>
      </c>
      <c r="P34" s="7">
        <v>2295</v>
      </c>
      <c r="Q34" s="7">
        <v>1043</v>
      </c>
      <c r="R34" s="7">
        <v>1252</v>
      </c>
      <c r="S34">
        <v>2295</v>
      </c>
    </row>
    <row r="35" spans="1:19" x14ac:dyDescent="0.3">
      <c r="A35" s="5">
        <v>261728</v>
      </c>
      <c r="B35" s="6">
        <v>44541</v>
      </c>
      <c r="C35" s="5">
        <v>11</v>
      </c>
      <c r="D35" t="s">
        <v>21</v>
      </c>
      <c r="E35" s="5">
        <v>2021</v>
      </c>
      <c r="F35" s="5">
        <v>37</v>
      </c>
      <c r="G35" s="5" t="s">
        <v>22</v>
      </c>
      <c r="H35" t="s">
        <v>29</v>
      </c>
      <c r="I35" t="s">
        <v>24</v>
      </c>
      <c r="J35" t="s">
        <v>25</v>
      </c>
      <c r="K35" t="s">
        <v>26</v>
      </c>
      <c r="L35" t="s">
        <v>27</v>
      </c>
      <c r="M35" t="s">
        <v>33</v>
      </c>
      <c r="N35" s="5">
        <v>1</v>
      </c>
      <c r="O35" s="7">
        <v>420</v>
      </c>
      <c r="P35" s="7">
        <v>769</v>
      </c>
      <c r="Q35" s="7">
        <v>349</v>
      </c>
      <c r="R35" s="7">
        <v>420</v>
      </c>
      <c r="S35">
        <v>769</v>
      </c>
    </row>
    <row r="36" spans="1:19" x14ac:dyDescent="0.3">
      <c r="A36" s="5">
        <v>261729</v>
      </c>
      <c r="B36" s="6">
        <v>44541</v>
      </c>
      <c r="C36" s="5">
        <v>11</v>
      </c>
      <c r="D36" t="s">
        <v>21</v>
      </c>
      <c r="E36" s="5">
        <v>2021</v>
      </c>
      <c r="F36" s="5">
        <v>38</v>
      </c>
      <c r="G36" s="5" t="s">
        <v>22</v>
      </c>
      <c r="H36" t="s">
        <v>23</v>
      </c>
      <c r="I36" t="s">
        <v>24</v>
      </c>
      <c r="J36" t="s">
        <v>25</v>
      </c>
      <c r="K36" t="s">
        <v>26</v>
      </c>
      <c r="L36" t="s">
        <v>27</v>
      </c>
      <c r="M36" t="s">
        <v>44</v>
      </c>
      <c r="N36" s="5">
        <v>1</v>
      </c>
      <c r="O36" s="7">
        <v>1266</v>
      </c>
      <c r="P36" s="7">
        <v>2320</v>
      </c>
      <c r="Q36" s="7">
        <v>1054</v>
      </c>
      <c r="R36" s="7">
        <v>1266</v>
      </c>
      <c r="S36">
        <v>2320</v>
      </c>
    </row>
    <row r="37" spans="1:19" x14ac:dyDescent="0.3">
      <c r="A37" s="5">
        <v>261730</v>
      </c>
      <c r="B37" s="6">
        <v>44542</v>
      </c>
      <c r="C37" s="5">
        <v>12</v>
      </c>
      <c r="D37" t="s">
        <v>21</v>
      </c>
      <c r="E37" s="5">
        <v>2021</v>
      </c>
      <c r="F37" s="5">
        <v>36</v>
      </c>
      <c r="G37" s="5" t="s">
        <v>22</v>
      </c>
      <c r="H37" t="s">
        <v>23</v>
      </c>
      <c r="I37" t="s">
        <v>35</v>
      </c>
      <c r="J37" t="s">
        <v>36</v>
      </c>
      <c r="K37" t="s">
        <v>26</v>
      </c>
      <c r="L37" t="s">
        <v>27</v>
      </c>
      <c r="M37" t="s">
        <v>32</v>
      </c>
      <c r="N37" s="5">
        <v>4</v>
      </c>
      <c r="O37" s="7">
        <v>1266</v>
      </c>
      <c r="P37" s="7">
        <v>2320</v>
      </c>
      <c r="Q37" s="7">
        <v>4216</v>
      </c>
      <c r="R37" s="7">
        <v>5064</v>
      </c>
      <c r="S37">
        <v>9280</v>
      </c>
    </row>
    <row r="38" spans="1:19" x14ac:dyDescent="0.3">
      <c r="A38" s="5">
        <v>261731</v>
      </c>
      <c r="B38" s="6">
        <v>44542</v>
      </c>
      <c r="C38" s="5">
        <v>12</v>
      </c>
      <c r="D38" t="s">
        <v>21</v>
      </c>
      <c r="E38" s="5">
        <v>2021</v>
      </c>
      <c r="F38" s="5">
        <v>37</v>
      </c>
      <c r="G38" s="5" t="s">
        <v>22</v>
      </c>
      <c r="H38" t="s">
        <v>29</v>
      </c>
      <c r="I38" t="s">
        <v>24</v>
      </c>
      <c r="J38" t="s">
        <v>25</v>
      </c>
      <c r="K38" t="s">
        <v>26</v>
      </c>
      <c r="L38" t="s">
        <v>27</v>
      </c>
      <c r="M38" t="s">
        <v>33</v>
      </c>
      <c r="N38" s="5">
        <v>4</v>
      </c>
      <c r="O38" s="7">
        <v>420</v>
      </c>
      <c r="P38" s="7">
        <v>769</v>
      </c>
      <c r="Q38" s="7">
        <v>1396</v>
      </c>
      <c r="R38" s="7">
        <v>1680</v>
      </c>
      <c r="S38">
        <v>3076</v>
      </c>
    </row>
    <row r="39" spans="1:19" x14ac:dyDescent="0.3">
      <c r="A39" s="5">
        <v>261732</v>
      </c>
      <c r="B39" s="6">
        <v>44542</v>
      </c>
      <c r="C39" s="5">
        <v>12</v>
      </c>
      <c r="D39" t="s">
        <v>21</v>
      </c>
      <c r="E39" s="5">
        <v>2021</v>
      </c>
      <c r="F39" s="5">
        <v>34</v>
      </c>
      <c r="G39" s="5" t="s">
        <v>34</v>
      </c>
      <c r="H39" t="s">
        <v>29</v>
      </c>
      <c r="I39" t="s">
        <v>35</v>
      </c>
      <c r="J39" t="s">
        <v>36</v>
      </c>
      <c r="K39" t="s">
        <v>26</v>
      </c>
      <c r="L39" t="s">
        <v>27</v>
      </c>
      <c r="M39" t="s">
        <v>39</v>
      </c>
      <c r="N39" s="5">
        <v>2</v>
      </c>
      <c r="O39" s="7">
        <v>1252</v>
      </c>
      <c r="P39" s="7">
        <v>2295</v>
      </c>
      <c r="Q39" s="7">
        <v>2086</v>
      </c>
      <c r="R39" s="7">
        <v>2504</v>
      </c>
      <c r="S39">
        <v>4590</v>
      </c>
    </row>
    <row r="40" spans="1:19" x14ac:dyDescent="0.3">
      <c r="A40" s="5">
        <v>261733</v>
      </c>
      <c r="B40" s="6">
        <v>44542</v>
      </c>
      <c r="C40" s="5">
        <v>12</v>
      </c>
      <c r="D40" t="s">
        <v>21</v>
      </c>
      <c r="E40" s="5">
        <v>2021</v>
      </c>
      <c r="F40" s="5">
        <v>35</v>
      </c>
      <c r="G40" s="5" t="s">
        <v>22</v>
      </c>
      <c r="H40" t="s">
        <v>23</v>
      </c>
      <c r="I40" t="s">
        <v>35</v>
      </c>
      <c r="J40" t="s">
        <v>52</v>
      </c>
      <c r="K40" t="s">
        <v>26</v>
      </c>
      <c r="L40" t="s">
        <v>27</v>
      </c>
      <c r="M40" t="s">
        <v>32</v>
      </c>
      <c r="N40" s="5">
        <v>1</v>
      </c>
      <c r="O40" s="7">
        <v>1266</v>
      </c>
      <c r="P40" s="7">
        <v>2320</v>
      </c>
      <c r="Q40" s="7">
        <v>1054</v>
      </c>
      <c r="R40" s="7">
        <v>1266</v>
      </c>
      <c r="S40">
        <v>2320</v>
      </c>
    </row>
    <row r="41" spans="1:19" x14ac:dyDescent="0.3">
      <c r="A41" s="5">
        <v>261734</v>
      </c>
      <c r="B41" s="6">
        <v>44542</v>
      </c>
      <c r="C41" s="5">
        <v>12</v>
      </c>
      <c r="D41" t="s">
        <v>21</v>
      </c>
      <c r="E41" s="5">
        <v>2021</v>
      </c>
      <c r="F41" s="5">
        <v>38</v>
      </c>
      <c r="G41" s="5" t="s">
        <v>22</v>
      </c>
      <c r="H41" t="s">
        <v>23</v>
      </c>
      <c r="I41" t="s">
        <v>24</v>
      </c>
      <c r="J41" t="s">
        <v>40</v>
      </c>
      <c r="K41" t="s">
        <v>26</v>
      </c>
      <c r="L41" t="s">
        <v>27</v>
      </c>
      <c r="M41" t="s">
        <v>32</v>
      </c>
      <c r="N41" s="5">
        <v>1</v>
      </c>
      <c r="O41" s="7">
        <v>1266</v>
      </c>
      <c r="P41" s="7">
        <v>2320</v>
      </c>
      <c r="Q41" s="7">
        <v>1054</v>
      </c>
      <c r="R41" s="7">
        <v>1266</v>
      </c>
      <c r="S41">
        <v>2320</v>
      </c>
    </row>
    <row r="42" spans="1:19" x14ac:dyDescent="0.3">
      <c r="A42" s="5">
        <v>261735</v>
      </c>
      <c r="B42" s="6">
        <v>44543</v>
      </c>
      <c r="C42" s="5">
        <v>13</v>
      </c>
      <c r="D42" t="s">
        <v>21</v>
      </c>
      <c r="E42" s="5">
        <v>2021</v>
      </c>
      <c r="F42" s="5">
        <v>32</v>
      </c>
      <c r="G42" s="5" t="s">
        <v>34</v>
      </c>
      <c r="H42" t="s">
        <v>23</v>
      </c>
      <c r="I42" t="s">
        <v>35</v>
      </c>
      <c r="J42" t="s">
        <v>43</v>
      </c>
      <c r="K42" t="s">
        <v>26</v>
      </c>
      <c r="L42" t="s">
        <v>27</v>
      </c>
      <c r="M42" t="s">
        <v>32</v>
      </c>
      <c r="N42" s="5">
        <v>3</v>
      </c>
      <c r="O42" s="7">
        <v>1266</v>
      </c>
      <c r="P42" s="7">
        <v>2320</v>
      </c>
      <c r="Q42" s="7">
        <v>3162</v>
      </c>
      <c r="R42" s="7">
        <v>3798</v>
      </c>
      <c r="S42">
        <v>6960</v>
      </c>
    </row>
    <row r="43" spans="1:19" x14ac:dyDescent="0.3">
      <c r="A43" s="5">
        <v>261736</v>
      </c>
      <c r="B43" s="6">
        <v>44543</v>
      </c>
      <c r="C43" s="5">
        <v>13</v>
      </c>
      <c r="D43" t="s">
        <v>21</v>
      </c>
      <c r="E43" s="5">
        <v>2021</v>
      </c>
      <c r="F43" s="5">
        <v>40</v>
      </c>
      <c r="G43" s="5" t="s">
        <v>22</v>
      </c>
      <c r="H43" t="s">
        <v>23</v>
      </c>
      <c r="I43" t="s">
        <v>24</v>
      </c>
      <c r="J43" t="s">
        <v>25</v>
      </c>
      <c r="K43" t="s">
        <v>26</v>
      </c>
      <c r="L43" t="s">
        <v>27</v>
      </c>
      <c r="M43" t="s">
        <v>59</v>
      </c>
      <c r="N43" s="5">
        <v>1</v>
      </c>
      <c r="O43" s="7">
        <v>308</v>
      </c>
      <c r="P43" s="7">
        <v>565</v>
      </c>
      <c r="Q43" s="7">
        <v>257</v>
      </c>
      <c r="R43" s="7">
        <v>308</v>
      </c>
      <c r="S43">
        <v>565</v>
      </c>
    </row>
    <row r="44" spans="1:19" x14ac:dyDescent="0.3">
      <c r="A44" s="5">
        <v>261737</v>
      </c>
      <c r="B44" s="6">
        <v>44543</v>
      </c>
      <c r="C44" s="5">
        <v>13</v>
      </c>
      <c r="D44" t="s">
        <v>21</v>
      </c>
      <c r="E44" s="5">
        <v>2021</v>
      </c>
      <c r="F44" s="5">
        <v>44</v>
      </c>
      <c r="G44" s="5" t="s">
        <v>22</v>
      </c>
      <c r="H44" t="s">
        <v>23</v>
      </c>
      <c r="I44" t="s">
        <v>30</v>
      </c>
      <c r="J44" t="s">
        <v>31</v>
      </c>
      <c r="K44" t="s">
        <v>26</v>
      </c>
      <c r="L44" t="s">
        <v>27</v>
      </c>
      <c r="M44" t="s">
        <v>39</v>
      </c>
      <c r="N44" s="5">
        <v>1</v>
      </c>
      <c r="O44" s="7">
        <v>1252</v>
      </c>
      <c r="P44" s="7">
        <v>2295</v>
      </c>
      <c r="Q44" s="7">
        <v>1043</v>
      </c>
      <c r="R44" s="7">
        <v>1252</v>
      </c>
      <c r="S44">
        <v>2295</v>
      </c>
    </row>
    <row r="45" spans="1:19" x14ac:dyDescent="0.3">
      <c r="A45" s="5">
        <v>261738</v>
      </c>
      <c r="B45" s="6">
        <v>44543</v>
      </c>
      <c r="C45" s="5">
        <v>13</v>
      </c>
      <c r="D45" t="s">
        <v>21</v>
      </c>
      <c r="E45" s="5">
        <v>2021</v>
      </c>
      <c r="F45" s="5">
        <v>49</v>
      </c>
      <c r="G45" s="5" t="s">
        <v>22</v>
      </c>
      <c r="H45" t="s">
        <v>29</v>
      </c>
      <c r="I45" t="s">
        <v>30</v>
      </c>
      <c r="J45" t="s">
        <v>31</v>
      </c>
      <c r="K45" t="s">
        <v>26</v>
      </c>
      <c r="L45" t="s">
        <v>27</v>
      </c>
      <c r="M45" t="s">
        <v>39</v>
      </c>
      <c r="N45" s="5">
        <v>1</v>
      </c>
      <c r="O45" s="7">
        <v>1252</v>
      </c>
      <c r="P45" s="7">
        <v>2295</v>
      </c>
      <c r="Q45" s="7">
        <v>1043</v>
      </c>
      <c r="R45" s="7">
        <v>1252</v>
      </c>
      <c r="S45">
        <v>2295</v>
      </c>
    </row>
    <row r="46" spans="1:19" x14ac:dyDescent="0.3">
      <c r="A46" s="5">
        <v>261739</v>
      </c>
      <c r="B46" s="6">
        <v>44544</v>
      </c>
      <c r="C46" s="5">
        <v>14</v>
      </c>
      <c r="D46" t="s">
        <v>21</v>
      </c>
      <c r="E46" s="5">
        <v>2021</v>
      </c>
      <c r="F46" s="5">
        <v>30</v>
      </c>
      <c r="G46" s="5" t="s">
        <v>34</v>
      </c>
      <c r="H46" t="s">
        <v>23</v>
      </c>
      <c r="I46" t="s">
        <v>24</v>
      </c>
      <c r="J46" t="s">
        <v>40</v>
      </c>
      <c r="K46" t="s">
        <v>26</v>
      </c>
      <c r="L46" t="s">
        <v>27</v>
      </c>
      <c r="M46" t="s">
        <v>44</v>
      </c>
      <c r="N46" s="5">
        <v>2</v>
      </c>
      <c r="O46" s="7">
        <v>1266</v>
      </c>
      <c r="P46" s="7">
        <v>2320</v>
      </c>
      <c r="Q46" s="7">
        <v>2108</v>
      </c>
      <c r="R46" s="7">
        <v>2532</v>
      </c>
      <c r="S46">
        <v>4640</v>
      </c>
    </row>
    <row r="47" spans="1:19" x14ac:dyDescent="0.3">
      <c r="A47" s="5">
        <v>261740</v>
      </c>
      <c r="B47" s="6">
        <v>44544</v>
      </c>
      <c r="C47" s="5">
        <v>14</v>
      </c>
      <c r="D47" t="s">
        <v>21</v>
      </c>
      <c r="E47" s="5">
        <v>2021</v>
      </c>
      <c r="F47" s="5">
        <v>32</v>
      </c>
      <c r="G47" s="5" t="s">
        <v>34</v>
      </c>
      <c r="H47" t="s">
        <v>29</v>
      </c>
      <c r="I47" t="s">
        <v>24</v>
      </c>
      <c r="J47" t="s">
        <v>25</v>
      </c>
      <c r="K47" t="s">
        <v>26</v>
      </c>
      <c r="L47" t="s">
        <v>27</v>
      </c>
      <c r="M47" t="s">
        <v>28</v>
      </c>
      <c r="N47" s="5">
        <v>1</v>
      </c>
      <c r="O47" s="7">
        <v>1252</v>
      </c>
      <c r="P47" s="7">
        <v>2295</v>
      </c>
      <c r="Q47" s="7">
        <v>1043</v>
      </c>
      <c r="R47" s="7">
        <v>1252</v>
      </c>
      <c r="S47">
        <v>2295</v>
      </c>
    </row>
    <row r="48" spans="1:19" x14ac:dyDescent="0.3">
      <c r="A48" s="5">
        <v>261741</v>
      </c>
      <c r="B48" s="6">
        <v>44544</v>
      </c>
      <c r="C48" s="5">
        <v>14</v>
      </c>
      <c r="D48" t="s">
        <v>21</v>
      </c>
      <c r="E48" s="5">
        <v>2021</v>
      </c>
      <c r="F48" s="5">
        <v>32</v>
      </c>
      <c r="G48" s="5" t="s">
        <v>34</v>
      </c>
      <c r="H48" t="s">
        <v>23</v>
      </c>
      <c r="I48" t="s">
        <v>35</v>
      </c>
      <c r="J48" t="s">
        <v>52</v>
      </c>
      <c r="K48" t="s">
        <v>26</v>
      </c>
      <c r="L48" t="s">
        <v>27</v>
      </c>
      <c r="M48" t="s">
        <v>33</v>
      </c>
      <c r="N48" s="5">
        <v>1</v>
      </c>
      <c r="O48" s="7">
        <v>420</v>
      </c>
      <c r="P48" s="7">
        <v>769</v>
      </c>
      <c r="Q48" s="7">
        <v>349</v>
      </c>
      <c r="R48" s="7">
        <v>420</v>
      </c>
      <c r="S48">
        <v>769</v>
      </c>
    </row>
    <row r="49" spans="1:19" x14ac:dyDescent="0.3">
      <c r="A49" s="5">
        <v>261742</v>
      </c>
      <c r="B49" s="6">
        <v>44545</v>
      </c>
      <c r="C49" s="5">
        <v>15</v>
      </c>
      <c r="D49" t="s">
        <v>21</v>
      </c>
      <c r="E49" s="5">
        <v>2021</v>
      </c>
      <c r="F49" s="5">
        <v>29</v>
      </c>
      <c r="G49" s="5" t="s">
        <v>34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32</v>
      </c>
      <c r="N49" s="5">
        <v>1</v>
      </c>
      <c r="O49" s="7">
        <v>1266</v>
      </c>
      <c r="P49" s="7">
        <v>2320</v>
      </c>
      <c r="Q49" s="7">
        <v>1054</v>
      </c>
      <c r="R49" s="7">
        <v>1266</v>
      </c>
      <c r="S49">
        <v>2320</v>
      </c>
    </row>
    <row r="50" spans="1:19" x14ac:dyDescent="0.3">
      <c r="A50" s="5">
        <v>261743</v>
      </c>
      <c r="B50" s="6">
        <v>44546</v>
      </c>
      <c r="C50" s="5">
        <v>16</v>
      </c>
      <c r="D50" t="s">
        <v>21</v>
      </c>
      <c r="E50" s="5">
        <v>2021</v>
      </c>
      <c r="F50" s="5">
        <v>33</v>
      </c>
      <c r="G50" s="5" t="s">
        <v>34</v>
      </c>
      <c r="H50" t="s">
        <v>23</v>
      </c>
      <c r="I50" t="s">
        <v>35</v>
      </c>
      <c r="J50" t="s">
        <v>36</v>
      </c>
      <c r="K50" t="s">
        <v>26</v>
      </c>
      <c r="L50" t="s">
        <v>27</v>
      </c>
      <c r="M50" t="s">
        <v>39</v>
      </c>
      <c r="N50" s="5">
        <v>2</v>
      </c>
      <c r="O50" s="7">
        <v>1252</v>
      </c>
      <c r="P50" s="7">
        <v>2295</v>
      </c>
      <c r="Q50" s="7">
        <v>2086</v>
      </c>
      <c r="R50" s="7">
        <v>2504</v>
      </c>
      <c r="S50">
        <v>4590</v>
      </c>
    </row>
    <row r="51" spans="1:19" x14ac:dyDescent="0.3">
      <c r="A51" s="5">
        <v>261744</v>
      </c>
      <c r="B51" s="6">
        <v>44546</v>
      </c>
      <c r="C51" s="5">
        <v>16</v>
      </c>
      <c r="D51" t="s">
        <v>21</v>
      </c>
      <c r="E51" s="5">
        <v>2021</v>
      </c>
      <c r="F51" s="5">
        <v>38</v>
      </c>
      <c r="G51" s="5" t="s">
        <v>22</v>
      </c>
      <c r="H51" t="s">
        <v>29</v>
      </c>
      <c r="I51" t="s">
        <v>35</v>
      </c>
      <c r="J51" t="s">
        <v>36</v>
      </c>
      <c r="K51" t="s">
        <v>26</v>
      </c>
      <c r="L51" t="s">
        <v>27</v>
      </c>
      <c r="M51" t="s">
        <v>39</v>
      </c>
      <c r="N51" s="5">
        <v>2</v>
      </c>
      <c r="O51" s="7">
        <v>1252</v>
      </c>
      <c r="P51" s="7">
        <v>2295</v>
      </c>
      <c r="Q51" s="7">
        <v>2086</v>
      </c>
      <c r="R51" s="7">
        <v>2504</v>
      </c>
      <c r="S51">
        <v>4590</v>
      </c>
    </row>
    <row r="52" spans="1:19" x14ac:dyDescent="0.3">
      <c r="A52" s="5">
        <v>261745</v>
      </c>
      <c r="B52" s="6">
        <v>44546</v>
      </c>
      <c r="C52" s="5">
        <v>16</v>
      </c>
      <c r="D52" t="s">
        <v>21</v>
      </c>
      <c r="E52" s="5">
        <v>2021</v>
      </c>
      <c r="F52" s="5">
        <v>27</v>
      </c>
      <c r="G52" s="5" t="s">
        <v>34</v>
      </c>
      <c r="H52" t="s">
        <v>23</v>
      </c>
      <c r="I52" t="s">
        <v>57</v>
      </c>
      <c r="J52" t="s">
        <v>60</v>
      </c>
      <c r="K52" t="s">
        <v>26</v>
      </c>
      <c r="L52" t="s">
        <v>27</v>
      </c>
      <c r="M52" t="s">
        <v>61</v>
      </c>
      <c r="N52" s="5">
        <v>1</v>
      </c>
      <c r="O52" s="7">
        <v>1266</v>
      </c>
      <c r="P52" s="7">
        <v>2320</v>
      </c>
      <c r="Q52" s="7">
        <v>1054</v>
      </c>
      <c r="R52" s="7">
        <v>1266</v>
      </c>
      <c r="S52">
        <v>2320</v>
      </c>
    </row>
    <row r="53" spans="1:19" x14ac:dyDescent="0.3">
      <c r="A53" s="5">
        <v>261746</v>
      </c>
      <c r="B53" s="6">
        <v>44547</v>
      </c>
      <c r="C53" s="5">
        <v>17</v>
      </c>
      <c r="D53" t="s">
        <v>21</v>
      </c>
      <c r="E53" s="5">
        <v>2021</v>
      </c>
      <c r="F53" s="5">
        <v>37</v>
      </c>
      <c r="G53" s="5" t="s">
        <v>22</v>
      </c>
      <c r="H53" t="s">
        <v>23</v>
      </c>
      <c r="I53" t="s">
        <v>24</v>
      </c>
      <c r="J53" t="s">
        <v>40</v>
      </c>
      <c r="K53" t="s">
        <v>26</v>
      </c>
      <c r="L53" t="s">
        <v>27</v>
      </c>
      <c r="M53" t="s">
        <v>44</v>
      </c>
      <c r="N53" s="5">
        <v>2</v>
      </c>
      <c r="O53" s="7">
        <v>1266</v>
      </c>
      <c r="P53" s="7">
        <v>2320</v>
      </c>
      <c r="Q53" s="7">
        <v>2108</v>
      </c>
      <c r="R53" s="7">
        <v>2532</v>
      </c>
      <c r="S53">
        <v>4640</v>
      </c>
    </row>
    <row r="54" spans="1:19" x14ac:dyDescent="0.3">
      <c r="A54" s="5">
        <v>261747</v>
      </c>
      <c r="B54" s="6">
        <v>44547</v>
      </c>
      <c r="C54" s="5">
        <v>17</v>
      </c>
      <c r="D54" t="s">
        <v>21</v>
      </c>
      <c r="E54" s="5">
        <v>2021</v>
      </c>
      <c r="F54" s="5">
        <v>31</v>
      </c>
      <c r="G54" s="5" t="s">
        <v>34</v>
      </c>
      <c r="H54" t="s">
        <v>29</v>
      </c>
      <c r="I54" t="s">
        <v>35</v>
      </c>
      <c r="J54" t="s">
        <v>36</v>
      </c>
      <c r="K54" t="s">
        <v>26</v>
      </c>
      <c r="L54" t="s">
        <v>27</v>
      </c>
      <c r="M54" t="s">
        <v>37</v>
      </c>
      <c r="N54" s="5">
        <v>1</v>
      </c>
      <c r="O54" s="7">
        <v>420</v>
      </c>
      <c r="P54" s="7">
        <v>769</v>
      </c>
      <c r="Q54" s="7">
        <v>349</v>
      </c>
      <c r="R54" s="7">
        <v>420</v>
      </c>
      <c r="S54">
        <v>769</v>
      </c>
    </row>
    <row r="55" spans="1:19" x14ac:dyDescent="0.3">
      <c r="A55" s="5">
        <v>261748</v>
      </c>
      <c r="B55" s="6">
        <v>44547</v>
      </c>
      <c r="C55" s="5">
        <v>17</v>
      </c>
      <c r="D55" t="s">
        <v>21</v>
      </c>
      <c r="E55" s="5">
        <v>2021</v>
      </c>
      <c r="F55" s="5">
        <v>42</v>
      </c>
      <c r="G55" s="5" t="s">
        <v>22</v>
      </c>
      <c r="H55" t="s">
        <v>23</v>
      </c>
      <c r="I55" t="s">
        <v>41</v>
      </c>
      <c r="J55" t="s">
        <v>42</v>
      </c>
      <c r="K55" t="s">
        <v>26</v>
      </c>
      <c r="L55" t="s">
        <v>27</v>
      </c>
      <c r="M55" t="s">
        <v>61</v>
      </c>
      <c r="N55" s="5">
        <v>1</v>
      </c>
      <c r="O55" s="7">
        <v>1266</v>
      </c>
      <c r="P55" s="7">
        <v>2320</v>
      </c>
      <c r="Q55" s="7">
        <v>1054</v>
      </c>
      <c r="R55" s="7">
        <v>1266</v>
      </c>
      <c r="S55">
        <v>2320</v>
      </c>
    </row>
    <row r="56" spans="1:19" x14ac:dyDescent="0.3">
      <c r="A56" s="5">
        <v>261749</v>
      </c>
      <c r="B56" s="6">
        <v>44548</v>
      </c>
      <c r="C56" s="5">
        <v>18</v>
      </c>
      <c r="D56" t="s">
        <v>21</v>
      </c>
      <c r="E56" s="5">
        <v>2021</v>
      </c>
      <c r="F56" s="5">
        <v>35</v>
      </c>
      <c r="G56" s="5" t="s">
        <v>22</v>
      </c>
      <c r="H56" t="s">
        <v>23</v>
      </c>
      <c r="I56" t="s">
        <v>35</v>
      </c>
      <c r="J56" t="s">
        <v>36</v>
      </c>
      <c r="K56" t="s">
        <v>26</v>
      </c>
      <c r="L56" t="s">
        <v>27</v>
      </c>
      <c r="M56" t="s">
        <v>49</v>
      </c>
      <c r="N56" s="5">
        <v>4</v>
      </c>
      <c r="O56" s="7">
        <v>308</v>
      </c>
      <c r="P56" s="7">
        <v>565</v>
      </c>
      <c r="Q56" s="7">
        <v>1028</v>
      </c>
      <c r="R56" s="7">
        <v>1232</v>
      </c>
      <c r="S56">
        <v>2260</v>
      </c>
    </row>
    <row r="57" spans="1:19" x14ac:dyDescent="0.3">
      <c r="A57" s="5">
        <v>261750</v>
      </c>
      <c r="B57" s="6">
        <v>44548</v>
      </c>
      <c r="C57" s="5">
        <v>18</v>
      </c>
      <c r="D57" t="s">
        <v>21</v>
      </c>
      <c r="E57" s="5">
        <v>2021</v>
      </c>
      <c r="F57" s="5">
        <v>38</v>
      </c>
      <c r="G57" s="5" t="s">
        <v>22</v>
      </c>
      <c r="H57" t="s">
        <v>23</v>
      </c>
      <c r="I57" t="s">
        <v>41</v>
      </c>
      <c r="J57" t="s">
        <v>42</v>
      </c>
      <c r="K57" t="s">
        <v>26</v>
      </c>
      <c r="L57" t="s">
        <v>27</v>
      </c>
      <c r="M57" t="s">
        <v>61</v>
      </c>
      <c r="N57" s="5">
        <v>4</v>
      </c>
      <c r="O57" s="7">
        <v>1266</v>
      </c>
      <c r="P57" s="7">
        <v>2320</v>
      </c>
      <c r="Q57" s="7">
        <v>4216</v>
      </c>
      <c r="R57" s="7">
        <v>5064</v>
      </c>
      <c r="S57">
        <v>9280</v>
      </c>
    </row>
    <row r="58" spans="1:19" x14ac:dyDescent="0.3">
      <c r="A58" s="5">
        <v>261751</v>
      </c>
      <c r="B58" s="6">
        <v>44548</v>
      </c>
      <c r="C58" s="5">
        <v>18</v>
      </c>
      <c r="D58" t="s">
        <v>21</v>
      </c>
      <c r="E58" s="5">
        <v>2021</v>
      </c>
      <c r="F58" s="5">
        <v>24</v>
      </c>
      <c r="G58" s="5" t="s">
        <v>38</v>
      </c>
      <c r="H58" t="s">
        <v>23</v>
      </c>
      <c r="I58" t="s">
        <v>57</v>
      </c>
      <c r="J58" t="s">
        <v>62</v>
      </c>
      <c r="K58" t="s">
        <v>26</v>
      </c>
      <c r="L58" t="s">
        <v>27</v>
      </c>
      <c r="M58" t="s">
        <v>44</v>
      </c>
      <c r="N58" s="5">
        <v>3</v>
      </c>
      <c r="O58" s="7">
        <v>1266</v>
      </c>
      <c r="P58" s="7">
        <v>2320</v>
      </c>
      <c r="Q58" s="7">
        <v>3162</v>
      </c>
      <c r="R58" s="7">
        <v>3798</v>
      </c>
      <c r="S58">
        <v>6960</v>
      </c>
    </row>
    <row r="59" spans="1:19" x14ac:dyDescent="0.3">
      <c r="A59" s="5">
        <v>261752</v>
      </c>
      <c r="B59" s="6">
        <v>44548</v>
      </c>
      <c r="C59" s="5">
        <v>18</v>
      </c>
      <c r="D59" t="s">
        <v>21</v>
      </c>
      <c r="E59" s="5">
        <v>2021</v>
      </c>
      <c r="F59" s="5">
        <v>26</v>
      </c>
      <c r="G59" s="5" t="s">
        <v>34</v>
      </c>
      <c r="H59" t="s">
        <v>23</v>
      </c>
      <c r="I59" t="s">
        <v>30</v>
      </c>
      <c r="J59" t="s">
        <v>31</v>
      </c>
      <c r="K59" t="s">
        <v>26</v>
      </c>
      <c r="L59" t="s">
        <v>27</v>
      </c>
      <c r="M59" t="s">
        <v>37</v>
      </c>
      <c r="N59" s="5">
        <v>3</v>
      </c>
      <c r="O59" s="7">
        <v>420</v>
      </c>
      <c r="P59" s="7">
        <v>769</v>
      </c>
      <c r="Q59" s="7">
        <v>1047</v>
      </c>
      <c r="R59" s="7">
        <v>1260</v>
      </c>
      <c r="S59">
        <v>2307</v>
      </c>
    </row>
    <row r="60" spans="1:19" x14ac:dyDescent="0.3">
      <c r="A60" s="5">
        <v>261753</v>
      </c>
      <c r="B60" s="6">
        <v>44548</v>
      </c>
      <c r="C60" s="5">
        <v>18</v>
      </c>
      <c r="D60" t="s">
        <v>21</v>
      </c>
      <c r="E60" s="5">
        <v>2021</v>
      </c>
      <c r="F60" s="5">
        <v>39</v>
      </c>
      <c r="G60" s="5" t="s">
        <v>22</v>
      </c>
      <c r="H60" t="s">
        <v>29</v>
      </c>
      <c r="I60" t="s">
        <v>24</v>
      </c>
      <c r="J60" t="s">
        <v>25</v>
      </c>
      <c r="K60" t="s">
        <v>26</v>
      </c>
      <c r="L60" t="s">
        <v>27</v>
      </c>
      <c r="M60" t="s">
        <v>47</v>
      </c>
      <c r="N60" s="5">
        <v>3</v>
      </c>
      <c r="O60" s="7">
        <v>1252</v>
      </c>
      <c r="P60" s="7">
        <v>2295</v>
      </c>
      <c r="Q60" s="7">
        <v>3129</v>
      </c>
      <c r="R60" s="7">
        <v>3756</v>
      </c>
      <c r="S60">
        <v>6885</v>
      </c>
    </row>
    <row r="61" spans="1:19" x14ac:dyDescent="0.3">
      <c r="A61" s="5">
        <v>261754</v>
      </c>
      <c r="B61" s="6">
        <v>44548</v>
      </c>
      <c r="C61" s="5">
        <v>18</v>
      </c>
      <c r="D61" t="s">
        <v>21</v>
      </c>
      <c r="E61" s="5">
        <v>2021</v>
      </c>
      <c r="F61" s="5">
        <v>26</v>
      </c>
      <c r="G61" s="5" t="s">
        <v>34</v>
      </c>
      <c r="H61" t="s">
        <v>29</v>
      </c>
      <c r="I61" t="s">
        <v>57</v>
      </c>
      <c r="J61" t="s">
        <v>58</v>
      </c>
      <c r="K61" t="s">
        <v>26</v>
      </c>
      <c r="L61" t="s">
        <v>27</v>
      </c>
      <c r="M61" t="s">
        <v>28</v>
      </c>
      <c r="N61" s="5">
        <v>1</v>
      </c>
      <c r="O61" s="7">
        <v>1252</v>
      </c>
      <c r="P61" s="7">
        <v>2295</v>
      </c>
      <c r="Q61" s="7">
        <v>1043</v>
      </c>
      <c r="R61" s="7">
        <v>1252</v>
      </c>
      <c r="S61">
        <v>2295</v>
      </c>
    </row>
    <row r="62" spans="1:19" x14ac:dyDescent="0.3">
      <c r="A62" s="5">
        <v>261755</v>
      </c>
      <c r="B62" s="6">
        <v>44548</v>
      </c>
      <c r="C62" s="5">
        <v>18</v>
      </c>
      <c r="D62" t="s">
        <v>21</v>
      </c>
      <c r="E62" s="5">
        <v>2021</v>
      </c>
      <c r="F62" s="5">
        <v>36</v>
      </c>
      <c r="G62" s="5" t="s">
        <v>22</v>
      </c>
      <c r="H62" t="s">
        <v>29</v>
      </c>
      <c r="I62" t="s">
        <v>24</v>
      </c>
      <c r="J62" t="s">
        <v>40</v>
      </c>
      <c r="K62" t="s">
        <v>26</v>
      </c>
      <c r="L62" t="s">
        <v>27</v>
      </c>
      <c r="M62" t="s">
        <v>44</v>
      </c>
      <c r="N62" s="5">
        <v>1</v>
      </c>
      <c r="O62" s="7">
        <v>1266</v>
      </c>
      <c r="P62" s="7">
        <v>2320</v>
      </c>
      <c r="Q62" s="7">
        <v>1054</v>
      </c>
      <c r="R62" s="7">
        <v>1266</v>
      </c>
      <c r="S62">
        <v>2320</v>
      </c>
    </row>
    <row r="63" spans="1:19" x14ac:dyDescent="0.3">
      <c r="A63" s="5">
        <v>261756</v>
      </c>
      <c r="B63" s="6">
        <v>44549</v>
      </c>
      <c r="C63" s="5">
        <v>19</v>
      </c>
      <c r="D63" t="s">
        <v>21</v>
      </c>
      <c r="E63" s="5">
        <v>2021</v>
      </c>
      <c r="F63" s="5">
        <v>17</v>
      </c>
      <c r="G63" s="5" t="s">
        <v>38</v>
      </c>
      <c r="H63" t="s">
        <v>29</v>
      </c>
      <c r="I63" t="s">
        <v>57</v>
      </c>
      <c r="J63" t="s">
        <v>63</v>
      </c>
      <c r="K63" t="s">
        <v>26</v>
      </c>
      <c r="L63" t="s">
        <v>27</v>
      </c>
      <c r="M63" t="s">
        <v>61</v>
      </c>
      <c r="N63" s="5">
        <v>4</v>
      </c>
      <c r="O63" s="7">
        <v>1266</v>
      </c>
      <c r="P63" s="7">
        <v>2320</v>
      </c>
      <c r="Q63" s="7">
        <v>4216</v>
      </c>
      <c r="R63" s="7">
        <v>5064</v>
      </c>
      <c r="S63">
        <v>9280</v>
      </c>
    </row>
    <row r="64" spans="1:19" x14ac:dyDescent="0.3">
      <c r="A64" s="5">
        <v>261757</v>
      </c>
      <c r="B64" s="6">
        <v>44549</v>
      </c>
      <c r="C64" s="5">
        <v>19</v>
      </c>
      <c r="D64" t="s">
        <v>21</v>
      </c>
      <c r="E64" s="5">
        <v>2021</v>
      </c>
      <c r="F64" s="5">
        <v>19</v>
      </c>
      <c r="G64" s="5" t="s">
        <v>38</v>
      </c>
      <c r="H64" t="s">
        <v>23</v>
      </c>
      <c r="I64" t="s">
        <v>35</v>
      </c>
      <c r="J64" t="s">
        <v>52</v>
      </c>
      <c r="K64" t="s">
        <v>26</v>
      </c>
      <c r="L64" t="s">
        <v>27</v>
      </c>
      <c r="M64" t="s">
        <v>64</v>
      </c>
      <c r="N64" s="5">
        <v>4</v>
      </c>
      <c r="O64" s="7">
        <v>295</v>
      </c>
      <c r="P64" s="7">
        <v>540</v>
      </c>
      <c r="Q64" s="7">
        <v>980</v>
      </c>
      <c r="R64" s="7">
        <v>1180</v>
      </c>
      <c r="S64">
        <v>2160</v>
      </c>
    </row>
    <row r="65" spans="1:19" x14ac:dyDescent="0.3">
      <c r="A65" s="5">
        <v>261758</v>
      </c>
      <c r="B65" s="6">
        <v>44549</v>
      </c>
      <c r="C65" s="5">
        <v>19</v>
      </c>
      <c r="D65" t="s">
        <v>21</v>
      </c>
      <c r="E65" s="5">
        <v>2021</v>
      </c>
      <c r="F65" s="5">
        <v>25</v>
      </c>
      <c r="G65" s="5" t="s">
        <v>34</v>
      </c>
      <c r="H65" t="s">
        <v>29</v>
      </c>
      <c r="I65" t="s">
        <v>57</v>
      </c>
      <c r="J65" t="s">
        <v>58</v>
      </c>
      <c r="K65" t="s">
        <v>26</v>
      </c>
      <c r="L65" t="s">
        <v>27</v>
      </c>
      <c r="M65" t="s">
        <v>39</v>
      </c>
      <c r="N65" s="5">
        <v>4</v>
      </c>
      <c r="O65" s="7">
        <v>1252</v>
      </c>
      <c r="P65" s="7">
        <v>2295</v>
      </c>
      <c r="Q65" s="7">
        <v>4172</v>
      </c>
      <c r="R65" s="7">
        <v>5008</v>
      </c>
      <c r="S65">
        <v>9180</v>
      </c>
    </row>
    <row r="66" spans="1:19" x14ac:dyDescent="0.3">
      <c r="A66" s="5">
        <v>261759</v>
      </c>
      <c r="B66" s="6">
        <v>44549</v>
      </c>
      <c r="C66" s="5">
        <v>19</v>
      </c>
      <c r="D66" t="s">
        <v>21</v>
      </c>
      <c r="E66" s="5">
        <v>2021</v>
      </c>
      <c r="F66" s="5">
        <v>35</v>
      </c>
      <c r="G66" s="5" t="s">
        <v>22</v>
      </c>
      <c r="H66" t="s">
        <v>23</v>
      </c>
      <c r="I66" t="s">
        <v>24</v>
      </c>
      <c r="J66" t="s">
        <v>50</v>
      </c>
      <c r="K66" t="s">
        <v>26</v>
      </c>
      <c r="L66" t="s">
        <v>27</v>
      </c>
      <c r="M66" t="s">
        <v>65</v>
      </c>
      <c r="N66" s="5">
        <v>4</v>
      </c>
      <c r="O66" s="7">
        <v>1898</v>
      </c>
      <c r="P66" s="7">
        <v>3375</v>
      </c>
      <c r="Q66" s="7">
        <v>5908</v>
      </c>
      <c r="R66" s="7">
        <v>7592</v>
      </c>
      <c r="S66">
        <v>13500</v>
      </c>
    </row>
    <row r="67" spans="1:19" x14ac:dyDescent="0.3">
      <c r="A67" s="5">
        <v>261760</v>
      </c>
      <c r="B67" s="6">
        <v>44549</v>
      </c>
      <c r="C67" s="5">
        <v>19</v>
      </c>
      <c r="D67" t="s">
        <v>21</v>
      </c>
      <c r="E67" s="5">
        <v>2021</v>
      </c>
      <c r="F67" s="5">
        <v>37</v>
      </c>
      <c r="G67" s="5" t="s">
        <v>22</v>
      </c>
      <c r="H67" t="s">
        <v>29</v>
      </c>
      <c r="I67" t="s">
        <v>24</v>
      </c>
      <c r="J67" t="s">
        <v>50</v>
      </c>
      <c r="K67" t="s">
        <v>26</v>
      </c>
      <c r="L67" t="s">
        <v>27</v>
      </c>
      <c r="M67" t="s">
        <v>39</v>
      </c>
      <c r="N67" s="5">
        <v>4</v>
      </c>
      <c r="O67" s="7">
        <v>1252</v>
      </c>
      <c r="P67" s="7">
        <v>2295</v>
      </c>
      <c r="Q67" s="7">
        <v>4172</v>
      </c>
      <c r="R67" s="7">
        <v>5008</v>
      </c>
      <c r="S67">
        <v>9180</v>
      </c>
    </row>
    <row r="68" spans="1:19" x14ac:dyDescent="0.3">
      <c r="A68" s="5">
        <v>261761</v>
      </c>
      <c r="B68" s="6">
        <v>44549</v>
      </c>
      <c r="C68" s="5">
        <v>19</v>
      </c>
      <c r="D68" t="s">
        <v>21</v>
      </c>
      <c r="E68" s="5">
        <v>2021</v>
      </c>
      <c r="F68" s="5">
        <v>39</v>
      </c>
      <c r="G68" s="5" t="s">
        <v>22</v>
      </c>
      <c r="H68" t="s">
        <v>23</v>
      </c>
      <c r="I68" t="s">
        <v>24</v>
      </c>
      <c r="J68" t="s">
        <v>25</v>
      </c>
      <c r="K68" t="s">
        <v>26</v>
      </c>
      <c r="L68" t="s">
        <v>27</v>
      </c>
      <c r="M68" t="s">
        <v>28</v>
      </c>
      <c r="N68" s="5">
        <v>4</v>
      </c>
      <c r="O68" s="7">
        <v>1252</v>
      </c>
      <c r="P68" s="7">
        <v>2295</v>
      </c>
      <c r="Q68" s="7">
        <v>4172</v>
      </c>
      <c r="R68" s="7">
        <v>5008</v>
      </c>
      <c r="S68">
        <v>9180</v>
      </c>
    </row>
    <row r="69" spans="1:19" x14ac:dyDescent="0.3">
      <c r="A69" s="5">
        <v>261762</v>
      </c>
      <c r="B69" s="6">
        <v>44549</v>
      </c>
      <c r="C69" s="5">
        <v>19</v>
      </c>
      <c r="D69" t="s">
        <v>21</v>
      </c>
      <c r="E69" s="5">
        <v>2021</v>
      </c>
      <c r="F69" s="5">
        <v>63</v>
      </c>
      <c r="G69" s="5" t="s">
        <v>22</v>
      </c>
      <c r="H69" t="s">
        <v>23</v>
      </c>
      <c r="I69" t="s">
        <v>35</v>
      </c>
      <c r="J69" t="s">
        <v>43</v>
      </c>
      <c r="K69" t="s">
        <v>26</v>
      </c>
      <c r="L69" t="s">
        <v>27</v>
      </c>
      <c r="M69" t="s">
        <v>28</v>
      </c>
      <c r="N69" s="5">
        <v>4</v>
      </c>
      <c r="O69" s="7">
        <v>1252</v>
      </c>
      <c r="P69" s="7">
        <v>2295</v>
      </c>
      <c r="Q69" s="7">
        <v>4172</v>
      </c>
      <c r="R69" s="7">
        <v>5008</v>
      </c>
      <c r="S69">
        <v>9180</v>
      </c>
    </row>
    <row r="70" spans="1:19" x14ac:dyDescent="0.3">
      <c r="A70" s="5">
        <v>261763</v>
      </c>
      <c r="B70" s="6">
        <v>44549</v>
      </c>
      <c r="C70" s="5">
        <v>19</v>
      </c>
      <c r="D70" t="s">
        <v>21</v>
      </c>
      <c r="E70" s="5">
        <v>2021</v>
      </c>
      <c r="F70" s="5">
        <v>18</v>
      </c>
      <c r="G70" s="5" t="s">
        <v>38</v>
      </c>
      <c r="H70" t="s">
        <v>29</v>
      </c>
      <c r="I70" t="s">
        <v>35</v>
      </c>
      <c r="J70" t="s">
        <v>66</v>
      </c>
      <c r="K70" t="s">
        <v>26</v>
      </c>
      <c r="L70" t="s">
        <v>27</v>
      </c>
      <c r="M70" t="s">
        <v>55</v>
      </c>
      <c r="N70" s="5">
        <v>2</v>
      </c>
      <c r="O70" s="7">
        <v>295</v>
      </c>
      <c r="P70" s="7">
        <v>540</v>
      </c>
      <c r="Q70" s="7">
        <v>490</v>
      </c>
      <c r="R70" s="7">
        <v>590</v>
      </c>
      <c r="S70">
        <v>1080</v>
      </c>
    </row>
    <row r="71" spans="1:19" x14ac:dyDescent="0.3">
      <c r="A71" s="5">
        <v>261764</v>
      </c>
      <c r="B71" s="6">
        <v>44549</v>
      </c>
      <c r="C71" s="5">
        <v>19</v>
      </c>
      <c r="D71" t="s">
        <v>21</v>
      </c>
      <c r="E71" s="5">
        <v>2021</v>
      </c>
      <c r="F71" s="5">
        <v>56</v>
      </c>
      <c r="G71" s="5" t="s">
        <v>22</v>
      </c>
      <c r="H71" t="s">
        <v>23</v>
      </c>
      <c r="I71" t="s">
        <v>41</v>
      </c>
      <c r="J71" t="s">
        <v>67</v>
      </c>
      <c r="K71" t="s">
        <v>26</v>
      </c>
      <c r="L71" t="s">
        <v>27</v>
      </c>
      <c r="M71" t="s">
        <v>28</v>
      </c>
      <c r="N71" s="5">
        <v>2</v>
      </c>
      <c r="O71" s="7">
        <v>1252</v>
      </c>
      <c r="P71" s="7">
        <v>2295</v>
      </c>
      <c r="Q71" s="7">
        <v>2086</v>
      </c>
      <c r="R71" s="7">
        <v>2504</v>
      </c>
      <c r="S71">
        <v>4590</v>
      </c>
    </row>
    <row r="72" spans="1:19" x14ac:dyDescent="0.3">
      <c r="A72" s="5">
        <v>261765</v>
      </c>
      <c r="B72" s="6">
        <v>44549</v>
      </c>
      <c r="C72" s="5">
        <v>19</v>
      </c>
      <c r="D72" t="s">
        <v>21</v>
      </c>
      <c r="E72" s="5">
        <v>2021</v>
      </c>
      <c r="F72" s="5">
        <v>39</v>
      </c>
      <c r="G72" s="5" t="s">
        <v>22</v>
      </c>
      <c r="H72" t="s">
        <v>23</v>
      </c>
      <c r="I72" t="s">
        <v>24</v>
      </c>
      <c r="J72" t="s">
        <v>40</v>
      </c>
      <c r="K72" t="s">
        <v>26</v>
      </c>
      <c r="L72" t="s">
        <v>27</v>
      </c>
      <c r="M72" t="s">
        <v>44</v>
      </c>
      <c r="N72" s="5">
        <v>11</v>
      </c>
      <c r="O72" s="7">
        <v>1266</v>
      </c>
      <c r="P72" s="7">
        <v>2320</v>
      </c>
      <c r="Q72" s="7">
        <v>1054</v>
      </c>
      <c r="R72" s="7">
        <v>13926</v>
      </c>
      <c r="S72">
        <v>25520</v>
      </c>
    </row>
    <row r="73" spans="1:19" x14ac:dyDescent="0.3">
      <c r="A73" s="5">
        <v>261766</v>
      </c>
      <c r="B73" s="6">
        <v>44550</v>
      </c>
      <c r="C73" s="5">
        <v>20</v>
      </c>
      <c r="D73" t="s">
        <v>21</v>
      </c>
      <c r="E73" s="5">
        <v>2021</v>
      </c>
      <c r="F73" s="5">
        <v>33</v>
      </c>
      <c r="G73" s="5" t="s">
        <v>34</v>
      </c>
      <c r="H73" t="s">
        <v>23</v>
      </c>
      <c r="I73" t="s">
        <v>35</v>
      </c>
      <c r="J73" t="s">
        <v>52</v>
      </c>
      <c r="K73" t="s">
        <v>26</v>
      </c>
      <c r="L73" t="s">
        <v>27</v>
      </c>
      <c r="M73" t="s">
        <v>53</v>
      </c>
      <c r="N73" s="5">
        <v>4</v>
      </c>
      <c r="O73" s="7">
        <v>1898</v>
      </c>
      <c r="P73" s="7">
        <v>3375</v>
      </c>
      <c r="Q73" s="7">
        <v>5908</v>
      </c>
      <c r="R73" s="7">
        <v>7592</v>
      </c>
      <c r="S73">
        <v>13500</v>
      </c>
    </row>
    <row r="74" spans="1:19" x14ac:dyDescent="0.3">
      <c r="A74" s="5">
        <v>261767</v>
      </c>
      <c r="B74" s="6">
        <v>44550</v>
      </c>
      <c r="C74" s="5">
        <v>20</v>
      </c>
      <c r="D74" t="s">
        <v>21</v>
      </c>
      <c r="E74" s="5">
        <v>2021</v>
      </c>
      <c r="F74" s="5">
        <v>57</v>
      </c>
      <c r="G74" s="5" t="s">
        <v>22</v>
      </c>
      <c r="H74" t="s">
        <v>29</v>
      </c>
      <c r="I74" t="s">
        <v>35</v>
      </c>
      <c r="J74" t="s">
        <v>43</v>
      </c>
      <c r="K74" t="s">
        <v>26</v>
      </c>
      <c r="L74" t="s">
        <v>27</v>
      </c>
      <c r="M74" t="s">
        <v>28</v>
      </c>
      <c r="N74" s="5">
        <v>4</v>
      </c>
      <c r="O74" s="7">
        <v>1252</v>
      </c>
      <c r="P74" s="7">
        <v>2295</v>
      </c>
      <c r="Q74" s="7">
        <v>4172</v>
      </c>
      <c r="R74" s="7">
        <v>5008</v>
      </c>
      <c r="S74">
        <v>9180</v>
      </c>
    </row>
    <row r="75" spans="1:19" x14ac:dyDescent="0.3">
      <c r="A75" s="5">
        <v>261768</v>
      </c>
      <c r="B75" s="6">
        <v>44550</v>
      </c>
      <c r="C75" s="5">
        <v>20</v>
      </c>
      <c r="D75" t="s">
        <v>21</v>
      </c>
      <c r="E75" s="5">
        <v>2021</v>
      </c>
      <c r="F75" s="5">
        <v>29</v>
      </c>
      <c r="G75" s="5" t="s">
        <v>34</v>
      </c>
      <c r="H75" t="s">
        <v>29</v>
      </c>
      <c r="I75" t="s">
        <v>45</v>
      </c>
      <c r="J75" t="s">
        <v>46</v>
      </c>
      <c r="K75" t="s">
        <v>26</v>
      </c>
      <c r="L75" t="s">
        <v>27</v>
      </c>
      <c r="M75" t="s">
        <v>68</v>
      </c>
      <c r="N75" s="5">
        <v>3</v>
      </c>
      <c r="O75" s="7">
        <v>295</v>
      </c>
      <c r="P75" s="7">
        <v>540</v>
      </c>
      <c r="Q75" s="7">
        <v>735</v>
      </c>
      <c r="R75" s="7">
        <v>885</v>
      </c>
      <c r="S75">
        <v>1620</v>
      </c>
    </row>
    <row r="76" spans="1:19" x14ac:dyDescent="0.3">
      <c r="A76" s="5">
        <v>261769</v>
      </c>
      <c r="B76" s="6">
        <v>44550</v>
      </c>
      <c r="C76" s="5">
        <v>20</v>
      </c>
      <c r="D76" t="s">
        <v>21</v>
      </c>
      <c r="E76" s="5">
        <v>2021</v>
      </c>
      <c r="F76" s="5">
        <v>35</v>
      </c>
      <c r="G76" s="5" t="s">
        <v>22</v>
      </c>
      <c r="H76" t="s">
        <v>23</v>
      </c>
      <c r="I76" t="s">
        <v>35</v>
      </c>
      <c r="J76" t="s">
        <v>43</v>
      </c>
      <c r="K76" t="s">
        <v>26</v>
      </c>
      <c r="L76" t="s">
        <v>27</v>
      </c>
      <c r="M76" t="s">
        <v>44</v>
      </c>
      <c r="N76" s="5">
        <v>1</v>
      </c>
      <c r="O76" s="7">
        <v>1266</v>
      </c>
      <c r="P76" s="7">
        <v>2320</v>
      </c>
      <c r="Q76" s="7">
        <v>1054</v>
      </c>
      <c r="R76" s="7">
        <v>1266</v>
      </c>
      <c r="S76">
        <v>2320</v>
      </c>
    </row>
    <row r="77" spans="1:19" x14ac:dyDescent="0.3">
      <c r="A77" s="5">
        <v>261770</v>
      </c>
      <c r="B77" s="6">
        <v>44550</v>
      </c>
      <c r="C77" s="5">
        <v>20</v>
      </c>
      <c r="D77" t="s">
        <v>21</v>
      </c>
      <c r="E77" s="5">
        <v>2021</v>
      </c>
      <c r="F77" s="5">
        <v>35</v>
      </c>
      <c r="G77" s="5" t="s">
        <v>22</v>
      </c>
      <c r="H77" t="s">
        <v>29</v>
      </c>
      <c r="I77" t="s">
        <v>35</v>
      </c>
      <c r="J77" t="s">
        <v>52</v>
      </c>
      <c r="K77" t="s">
        <v>26</v>
      </c>
      <c r="L77" t="s">
        <v>27</v>
      </c>
      <c r="M77" t="s">
        <v>44</v>
      </c>
      <c r="N77" s="5">
        <v>1</v>
      </c>
      <c r="O77" s="7">
        <v>1266</v>
      </c>
      <c r="P77" s="7">
        <v>2320</v>
      </c>
      <c r="Q77" s="7">
        <v>1054</v>
      </c>
      <c r="R77" s="7">
        <v>1266</v>
      </c>
      <c r="S77">
        <v>2320</v>
      </c>
    </row>
    <row r="78" spans="1:19" x14ac:dyDescent="0.3">
      <c r="A78" s="5">
        <v>261771</v>
      </c>
      <c r="B78" s="6">
        <v>44551</v>
      </c>
      <c r="C78" s="5">
        <v>21</v>
      </c>
      <c r="D78" t="s">
        <v>21</v>
      </c>
      <c r="E78" s="5">
        <v>2021</v>
      </c>
      <c r="F78" s="5">
        <v>26</v>
      </c>
      <c r="G78" s="5" t="s">
        <v>34</v>
      </c>
      <c r="H78" t="s">
        <v>29</v>
      </c>
      <c r="I78" t="s">
        <v>57</v>
      </c>
      <c r="J78" t="s">
        <v>69</v>
      </c>
      <c r="K78" t="s">
        <v>26</v>
      </c>
      <c r="L78" t="s">
        <v>27</v>
      </c>
      <c r="M78" t="s">
        <v>44</v>
      </c>
      <c r="N78" s="5">
        <v>3</v>
      </c>
      <c r="O78" s="7">
        <v>1266</v>
      </c>
      <c r="P78" s="7">
        <v>2320</v>
      </c>
      <c r="Q78" s="7">
        <v>3162</v>
      </c>
      <c r="R78" s="7">
        <v>3798</v>
      </c>
      <c r="S78">
        <v>6960</v>
      </c>
    </row>
    <row r="79" spans="1:19" x14ac:dyDescent="0.3">
      <c r="A79" s="5">
        <v>261772</v>
      </c>
      <c r="B79" s="6">
        <v>44551</v>
      </c>
      <c r="C79" s="5">
        <v>21</v>
      </c>
      <c r="D79" t="s">
        <v>21</v>
      </c>
      <c r="E79" s="5">
        <v>2021</v>
      </c>
      <c r="F79" s="5">
        <v>23</v>
      </c>
      <c r="G79" s="5" t="s">
        <v>38</v>
      </c>
      <c r="H79" t="s">
        <v>29</v>
      </c>
      <c r="I79" t="s">
        <v>30</v>
      </c>
      <c r="J79" t="s">
        <v>31</v>
      </c>
      <c r="K79" t="s">
        <v>26</v>
      </c>
      <c r="L79" t="s">
        <v>27</v>
      </c>
      <c r="M79" t="s">
        <v>33</v>
      </c>
      <c r="N79" s="5">
        <v>2</v>
      </c>
      <c r="O79" s="7">
        <v>420</v>
      </c>
      <c r="P79" s="7">
        <v>769</v>
      </c>
      <c r="Q79" s="7">
        <v>698</v>
      </c>
      <c r="R79" s="7">
        <v>840</v>
      </c>
      <c r="S79">
        <v>1538</v>
      </c>
    </row>
    <row r="80" spans="1:19" x14ac:dyDescent="0.3">
      <c r="A80" s="5">
        <v>261773</v>
      </c>
      <c r="B80" s="6">
        <v>44552</v>
      </c>
      <c r="C80" s="5">
        <v>22</v>
      </c>
      <c r="D80" t="s">
        <v>21</v>
      </c>
      <c r="E80" s="5">
        <v>2021</v>
      </c>
      <c r="F80" s="5">
        <v>30</v>
      </c>
      <c r="G80" s="5" t="s">
        <v>34</v>
      </c>
      <c r="H80" t="s">
        <v>23</v>
      </c>
      <c r="I80" t="s">
        <v>24</v>
      </c>
      <c r="J80" t="s">
        <v>40</v>
      </c>
      <c r="K80" t="s">
        <v>26</v>
      </c>
      <c r="L80" t="s">
        <v>27</v>
      </c>
      <c r="M80" t="s">
        <v>44</v>
      </c>
      <c r="N80" s="5">
        <v>3</v>
      </c>
      <c r="O80" s="7">
        <v>1266</v>
      </c>
      <c r="P80" s="7">
        <v>2320</v>
      </c>
      <c r="Q80" s="7">
        <v>3162</v>
      </c>
      <c r="R80" s="7">
        <v>3798</v>
      </c>
      <c r="S80">
        <v>6960</v>
      </c>
    </row>
    <row r="81" spans="1:19" x14ac:dyDescent="0.3">
      <c r="A81" s="5">
        <v>261774</v>
      </c>
      <c r="B81" s="6">
        <v>44552</v>
      </c>
      <c r="C81" s="5">
        <v>22</v>
      </c>
      <c r="D81" t="s">
        <v>21</v>
      </c>
      <c r="E81" s="5">
        <v>2021</v>
      </c>
      <c r="F81" s="5">
        <v>41</v>
      </c>
      <c r="G81" s="5" t="s">
        <v>22</v>
      </c>
      <c r="H81" t="s">
        <v>29</v>
      </c>
      <c r="I81" t="s">
        <v>24</v>
      </c>
      <c r="J81" t="s">
        <v>25</v>
      </c>
      <c r="K81" t="s">
        <v>26</v>
      </c>
      <c r="L81" t="s">
        <v>27</v>
      </c>
      <c r="M81" t="s">
        <v>47</v>
      </c>
      <c r="N81" s="5">
        <v>3</v>
      </c>
      <c r="O81" s="7">
        <v>1252</v>
      </c>
      <c r="P81" s="7">
        <v>2295</v>
      </c>
      <c r="Q81" s="7">
        <v>3129</v>
      </c>
      <c r="R81" s="7">
        <v>3756</v>
      </c>
      <c r="S81">
        <v>6885</v>
      </c>
    </row>
    <row r="82" spans="1:19" x14ac:dyDescent="0.3">
      <c r="A82" s="5">
        <v>261775</v>
      </c>
      <c r="B82" s="6">
        <v>44552</v>
      </c>
      <c r="C82" s="5">
        <v>22</v>
      </c>
      <c r="D82" t="s">
        <v>21</v>
      </c>
      <c r="E82" s="5">
        <v>2021</v>
      </c>
      <c r="F82" s="5">
        <v>19</v>
      </c>
      <c r="G82" s="5" t="s">
        <v>38</v>
      </c>
      <c r="H82" t="s">
        <v>23</v>
      </c>
      <c r="I82" t="s">
        <v>35</v>
      </c>
      <c r="J82" t="s">
        <v>36</v>
      </c>
      <c r="K82" t="s">
        <v>26</v>
      </c>
      <c r="L82" t="s">
        <v>27</v>
      </c>
      <c r="M82" t="s">
        <v>49</v>
      </c>
      <c r="N82" s="5">
        <v>1</v>
      </c>
      <c r="O82" s="7">
        <v>308</v>
      </c>
      <c r="P82" s="7">
        <v>565</v>
      </c>
      <c r="Q82" s="7">
        <v>257</v>
      </c>
      <c r="R82" s="7">
        <v>308</v>
      </c>
      <c r="S82">
        <v>565</v>
      </c>
    </row>
    <row r="83" spans="1:19" x14ac:dyDescent="0.3">
      <c r="A83" s="5">
        <v>261776</v>
      </c>
      <c r="B83" s="6">
        <v>44552</v>
      </c>
      <c r="C83" s="5">
        <v>22</v>
      </c>
      <c r="D83" t="s">
        <v>21</v>
      </c>
      <c r="E83" s="5">
        <v>2021</v>
      </c>
      <c r="F83" s="5">
        <v>25</v>
      </c>
      <c r="G83" s="5" t="s">
        <v>34</v>
      </c>
      <c r="H83" t="s">
        <v>29</v>
      </c>
      <c r="I83" t="s">
        <v>57</v>
      </c>
      <c r="J83" t="s">
        <v>58</v>
      </c>
      <c r="K83" t="s">
        <v>26</v>
      </c>
      <c r="L83" t="s">
        <v>27</v>
      </c>
      <c r="M83" t="s">
        <v>39</v>
      </c>
      <c r="N83" s="5">
        <v>1</v>
      </c>
      <c r="O83" s="7">
        <v>1252</v>
      </c>
      <c r="P83" s="7">
        <v>2295</v>
      </c>
      <c r="Q83" s="7">
        <v>1043</v>
      </c>
      <c r="R83" s="7">
        <v>1252</v>
      </c>
      <c r="S83">
        <v>2295</v>
      </c>
    </row>
    <row r="84" spans="1:19" x14ac:dyDescent="0.3">
      <c r="A84" s="5">
        <v>261777</v>
      </c>
      <c r="B84" s="6">
        <v>44552</v>
      </c>
      <c r="C84" s="5">
        <v>22</v>
      </c>
      <c r="D84" t="s">
        <v>21</v>
      </c>
      <c r="E84" s="5">
        <v>2021</v>
      </c>
      <c r="F84" s="5">
        <v>27</v>
      </c>
      <c r="G84" s="5" t="s">
        <v>34</v>
      </c>
      <c r="H84" t="s">
        <v>23</v>
      </c>
      <c r="I84" t="s">
        <v>45</v>
      </c>
      <c r="J84" t="s">
        <v>46</v>
      </c>
      <c r="K84" t="s">
        <v>26</v>
      </c>
      <c r="L84" t="s">
        <v>27</v>
      </c>
      <c r="M84" t="s">
        <v>28</v>
      </c>
      <c r="N84" s="5">
        <v>1</v>
      </c>
      <c r="O84" s="7">
        <v>1252</v>
      </c>
      <c r="P84" s="7">
        <v>2295</v>
      </c>
      <c r="Q84" s="7">
        <v>1043</v>
      </c>
      <c r="R84" s="7">
        <v>1252</v>
      </c>
      <c r="S84">
        <v>2295</v>
      </c>
    </row>
    <row r="85" spans="1:19" x14ac:dyDescent="0.3">
      <c r="A85" s="5">
        <v>261778</v>
      </c>
      <c r="B85" s="6">
        <v>44552</v>
      </c>
      <c r="C85" s="5">
        <v>22</v>
      </c>
      <c r="D85" t="s">
        <v>21</v>
      </c>
      <c r="E85" s="5">
        <v>2021</v>
      </c>
      <c r="F85" s="5">
        <v>41</v>
      </c>
      <c r="G85" s="5" t="s">
        <v>22</v>
      </c>
      <c r="H85" t="s">
        <v>29</v>
      </c>
      <c r="I85" t="s">
        <v>41</v>
      </c>
      <c r="J85" t="s">
        <v>67</v>
      </c>
      <c r="K85" t="s">
        <v>26</v>
      </c>
      <c r="L85" t="s">
        <v>27</v>
      </c>
      <c r="M85" t="s">
        <v>44</v>
      </c>
      <c r="N85" s="5">
        <v>1</v>
      </c>
      <c r="O85" s="7">
        <v>1266</v>
      </c>
      <c r="P85" s="7">
        <v>2320</v>
      </c>
      <c r="Q85" s="7">
        <v>1054</v>
      </c>
      <c r="R85" s="7">
        <v>1266</v>
      </c>
      <c r="S85">
        <v>2320</v>
      </c>
    </row>
    <row r="86" spans="1:19" x14ac:dyDescent="0.3">
      <c r="A86" s="5">
        <v>261779</v>
      </c>
      <c r="B86" s="6">
        <v>44553</v>
      </c>
      <c r="C86" s="5">
        <v>23</v>
      </c>
      <c r="D86" t="s">
        <v>21</v>
      </c>
      <c r="E86" s="5">
        <v>2021</v>
      </c>
      <c r="F86" s="5">
        <v>30</v>
      </c>
      <c r="G86" s="5" t="s">
        <v>34</v>
      </c>
      <c r="H86" t="s">
        <v>23</v>
      </c>
      <c r="I86" t="s">
        <v>24</v>
      </c>
      <c r="J86" t="s">
        <v>50</v>
      </c>
      <c r="K86" t="s">
        <v>26</v>
      </c>
      <c r="L86" t="s">
        <v>27</v>
      </c>
      <c r="M86" t="s">
        <v>32</v>
      </c>
      <c r="N86" s="5">
        <v>1</v>
      </c>
      <c r="O86" s="7">
        <v>1266</v>
      </c>
      <c r="P86" s="7">
        <v>2320</v>
      </c>
      <c r="Q86" s="7">
        <v>1054</v>
      </c>
      <c r="R86" s="7">
        <v>1266</v>
      </c>
      <c r="S86">
        <v>2320</v>
      </c>
    </row>
    <row r="87" spans="1:19" x14ac:dyDescent="0.3">
      <c r="A87" s="5">
        <v>261780</v>
      </c>
      <c r="B87" s="6">
        <v>44553</v>
      </c>
      <c r="C87" s="5">
        <v>23</v>
      </c>
      <c r="D87" t="s">
        <v>21</v>
      </c>
      <c r="E87" s="5">
        <v>2021</v>
      </c>
      <c r="F87" s="5">
        <v>31</v>
      </c>
      <c r="G87" s="5" t="s">
        <v>34</v>
      </c>
      <c r="H87" t="s">
        <v>23</v>
      </c>
      <c r="I87" t="s">
        <v>45</v>
      </c>
      <c r="J87" t="s">
        <v>46</v>
      </c>
      <c r="K87" t="s">
        <v>26</v>
      </c>
      <c r="L87" t="s">
        <v>27</v>
      </c>
      <c r="M87" t="s">
        <v>47</v>
      </c>
      <c r="N87" s="5">
        <v>1</v>
      </c>
      <c r="O87" s="7">
        <v>1252</v>
      </c>
      <c r="P87" s="7">
        <v>2295</v>
      </c>
      <c r="Q87" s="7">
        <v>1043</v>
      </c>
      <c r="R87" s="7">
        <v>1252</v>
      </c>
      <c r="S87">
        <v>2295</v>
      </c>
    </row>
    <row r="88" spans="1:19" x14ac:dyDescent="0.3">
      <c r="A88" s="5">
        <v>261781</v>
      </c>
      <c r="B88" s="6">
        <v>44553</v>
      </c>
      <c r="C88" s="5">
        <v>23</v>
      </c>
      <c r="D88" t="s">
        <v>21</v>
      </c>
      <c r="E88" s="5">
        <v>2021</v>
      </c>
      <c r="F88" s="5">
        <v>35</v>
      </c>
      <c r="G88" s="5" t="s">
        <v>22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51</v>
      </c>
      <c r="N88" s="5">
        <v>1</v>
      </c>
      <c r="O88" s="7">
        <v>295</v>
      </c>
      <c r="P88" s="7">
        <v>540</v>
      </c>
      <c r="Q88" s="7">
        <v>245</v>
      </c>
      <c r="R88" s="7">
        <v>295</v>
      </c>
      <c r="S88">
        <v>540</v>
      </c>
    </row>
    <row r="89" spans="1:19" x14ac:dyDescent="0.3">
      <c r="A89" s="5">
        <v>261782</v>
      </c>
      <c r="B89" s="6">
        <v>44554</v>
      </c>
      <c r="C89" s="5">
        <v>24</v>
      </c>
      <c r="D89" t="s">
        <v>21</v>
      </c>
      <c r="E89" s="5">
        <v>2021</v>
      </c>
      <c r="F89" s="5">
        <v>38</v>
      </c>
      <c r="G89" s="5" t="s">
        <v>22</v>
      </c>
      <c r="H89" t="s">
        <v>29</v>
      </c>
      <c r="I89" t="s">
        <v>35</v>
      </c>
      <c r="J89" t="s">
        <v>43</v>
      </c>
      <c r="K89" t="s">
        <v>26</v>
      </c>
      <c r="L89" t="s">
        <v>27</v>
      </c>
      <c r="M89" t="s">
        <v>47</v>
      </c>
      <c r="N89" s="5">
        <v>4</v>
      </c>
      <c r="O89" s="7">
        <v>1252</v>
      </c>
      <c r="P89" s="7">
        <v>2295</v>
      </c>
      <c r="Q89" s="7">
        <v>4172</v>
      </c>
      <c r="R89" s="7">
        <v>5008</v>
      </c>
      <c r="S89">
        <v>9180</v>
      </c>
    </row>
    <row r="92" spans="1:19" x14ac:dyDescent="0.3">
      <c r="O92" s="8">
        <f>AVERAGE(O2:O89)</f>
        <v>1064.2045454545455</v>
      </c>
      <c r="P92" s="8">
        <f>AVERAGE(P2:P89)</f>
        <v>1945.659090909091</v>
      </c>
      <c r="Q92" s="8">
        <f>AVERAGE(Q2:Q89)</f>
        <v>1858.0454545454545</v>
      </c>
    </row>
    <row r="93" spans="1:19" x14ac:dyDescent="0.3">
      <c r="O93" s="8"/>
      <c r="P93" s="8"/>
      <c r="Q93" s="8"/>
    </row>
    <row r="95" spans="1:19" x14ac:dyDescent="0.3">
      <c r="O95" s="9">
        <f>MEDIAN(O2:O89)</f>
        <v>1252</v>
      </c>
      <c r="P95" s="9">
        <f>MEDIAN(P2:P89)</f>
        <v>2295</v>
      </c>
    </row>
    <row r="96" spans="1:19" x14ac:dyDescent="0.3">
      <c r="O96" s="9"/>
      <c r="P96" s="9"/>
    </row>
    <row r="98" spans="15:18" x14ac:dyDescent="0.3">
      <c r="O98" s="10">
        <f>_xlfn.MODE.SNGL(O2:O89)</f>
        <v>1252</v>
      </c>
      <c r="P98" s="10">
        <f>_xlfn.MODE.SNGL(P2:P89)</f>
        <v>2295</v>
      </c>
    </row>
    <row r="99" spans="15:18" x14ac:dyDescent="0.3">
      <c r="O99" s="10"/>
      <c r="P99" s="10"/>
    </row>
    <row r="101" spans="15:18" x14ac:dyDescent="0.3">
      <c r="O101" s="11">
        <f>_xlfn.STDEV.S(O2:O89)</f>
        <v>428.25036073931585</v>
      </c>
      <c r="P101" s="11">
        <f>_xlfn.STDEV.S(P2:P89)</f>
        <v>776.03119214421599</v>
      </c>
      <c r="Q101" s="11">
        <f>_xlfn.STDEV.S(Q2:Q89)</f>
        <v>1399.6977088182489</v>
      </c>
    </row>
    <row r="102" spans="15:18" x14ac:dyDescent="0.3">
      <c r="O102" s="11"/>
      <c r="P102" s="11"/>
      <c r="Q102" s="11"/>
    </row>
    <row r="109" spans="15:18" x14ac:dyDescent="0.3">
      <c r="Q109" s="12">
        <f>(_xlfn.STDEV.S(Q2:Q89)/AVERAGE(Q2:Q89))*100</f>
        <v>75.331725894761064</v>
      </c>
      <c r="R109" s="13">
        <f>(_xlfn.STDEV.S(R2:R89)/AVERAGE(R2:R89))*100</f>
        <v>88.566232904582293</v>
      </c>
    </row>
    <row r="110" spans="15:18" x14ac:dyDescent="0.3">
      <c r="Q110" s="12"/>
      <c r="R110" s="13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1EA36C-F5DD-4836-A070-67CB14163E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task-01</vt:lpstr>
      <vt:lpstr>task-02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Haseeb</dc:creator>
  <cp:lastModifiedBy>Haseeb</cp:lastModifiedBy>
  <dcterms:created xsi:type="dcterms:W3CDTF">2025-12-02T15:03:09Z</dcterms:created>
  <dcterms:modified xsi:type="dcterms:W3CDTF">2025-12-02T18:51:14Z</dcterms:modified>
</cp:coreProperties>
</file>